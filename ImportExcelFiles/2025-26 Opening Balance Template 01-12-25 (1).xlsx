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E:\ERP\2025-26 Opening Balance ERP\"/>
    </mc:Choice>
  </mc:AlternateContent>
  <xr:revisionPtr revIDLastSave="2" documentId="11_BB5D9FDB4417B884BE8F95D3CE8F6D0B8CB925E4" xr6:coauthVersionLast="47" xr6:coauthVersionMax="47" xr10:uidLastSave="{FEE162DC-0A84-4B55-B352-CAAF4D5256E4}"/>
  <bookViews>
    <workbookView xWindow="0" yWindow="0" windowWidth="20490" windowHeight="6270" firstSheet="1" activeTab="1" xr2:uid="{00000000-000D-0000-FFFF-FFFF00000000}"/>
  </bookViews>
  <sheets>
    <sheet name="OpeningBalance" sheetId="1" r:id="rId1"/>
    <sheet name="BillDetail" sheetId="2" r:id="rId2"/>
  </sheets>
  <definedNames>
    <definedName name="_xlnm._FilterDatabase" localSheetId="1" hidden="1">BillDetail!$A$1:$F$1079</definedName>
    <definedName name="_xlnm._FilterDatabase" localSheetId="0" hidden="1">OpeningBalance!$A$1:$F$975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3" i="2" l="1"/>
  <c r="E534" i="2"/>
  <c r="E646" i="2"/>
  <c r="E650" i="2"/>
  <c r="D288" i="1"/>
  <c r="I602" i="2"/>
  <c r="D852" i="1" l="1"/>
  <c r="E665" i="2" l="1"/>
  <c r="E636" i="2"/>
  <c r="E80" i="2"/>
  <c r="E79" i="2"/>
  <c r="E1073" i="2" l="1"/>
  <c r="E1072" i="2"/>
  <c r="E1071" i="2"/>
  <c r="E1061" i="2"/>
  <c r="E1039" i="2"/>
  <c r="E1034" i="2"/>
  <c r="E1033" i="2"/>
  <c r="E1031" i="2"/>
  <c r="E1029" i="2"/>
  <c r="E1028" i="2"/>
  <c r="E1026" i="2"/>
  <c r="E1025" i="2"/>
  <c r="E1024" i="2"/>
  <c r="E1019" i="2"/>
  <c r="E1011" i="2"/>
  <c r="E998" i="2"/>
  <c r="E940" i="2"/>
  <c r="E749" i="2" l="1"/>
  <c r="E919" i="2" l="1"/>
  <c r="E845" i="2"/>
  <c r="E751" i="2"/>
  <c r="E679" i="2"/>
</calcChain>
</file>

<file path=xl/sharedStrings.xml><?xml version="1.0" encoding="utf-8"?>
<sst xmlns="http://schemas.openxmlformats.org/spreadsheetml/2006/main" count="6895" uniqueCount="1750">
  <si>
    <t>Account Type*</t>
  </si>
  <si>
    <t>Account Name*(max 50 characters)</t>
  </si>
  <si>
    <t>Currency*</t>
  </si>
  <si>
    <t>Opening Amount*</t>
  </si>
  <si>
    <t>Amount Type*</t>
  </si>
  <si>
    <t>Conversion Rate*</t>
  </si>
  <si>
    <t>Bank</t>
  </si>
  <si>
    <t>CANARA BANK CA A/C : 91971400000116</t>
  </si>
  <si>
    <t>INR</t>
  </si>
  <si>
    <t>CANARA BANK CC A/C-91971010000081</t>
  </si>
  <si>
    <t>HDFC A/C : 50200092089987</t>
  </si>
  <si>
    <t>Punjab National Bank OD A/c</t>
  </si>
  <si>
    <t>YES BANK-CC A/C-024084600000852</t>
  </si>
  <si>
    <t>Cash</t>
  </si>
  <si>
    <t>Cash In Hand</t>
  </si>
  <si>
    <t>Customer</t>
  </si>
  <si>
    <t>1Min CV LLP</t>
  </si>
  <si>
    <t>3bees Facility Management-Delhi</t>
  </si>
  <si>
    <t>ABB India Limited-KA</t>
  </si>
  <si>
    <t>Debit</t>
  </si>
  <si>
    <t>Abb India Limited-Retn</t>
  </si>
  <si>
    <t>Agc Networks Ltd.-Delhi</t>
  </si>
  <si>
    <t>Aircruise Travels Pvt Ltd-Delhi</t>
  </si>
  <si>
    <t>Alaska Export-UP</t>
  </si>
  <si>
    <t>Almaha Foods International Private Limited</t>
  </si>
  <si>
    <t>Credit</t>
  </si>
  <si>
    <t>Anika International Pvt. Ltd.-Delhi</t>
  </si>
  <si>
    <t>Arthved Infratech Private Limited</t>
  </si>
  <si>
    <t>Associated Power Structures Pvt.Ltd - GJ</t>
  </si>
  <si>
    <t>Associated Power Structures Pvt.Ltd - KR</t>
  </si>
  <si>
    <t>Axtria India Pvt.Ltd-HR-SEZ</t>
  </si>
  <si>
    <t>Azure Power Forty One Private Limited-Retn</t>
  </si>
  <si>
    <t>Azure Power Forty One Private Limited-RJ</t>
  </si>
  <si>
    <t>Azure Power Maple Private Limited-Retn</t>
  </si>
  <si>
    <t>Azure Power Maple Private Limited-RJ</t>
  </si>
  <si>
    <t>Bajel Projects Limited</t>
  </si>
  <si>
    <t>Bharat Elevator-Delhi</t>
  </si>
  <si>
    <t>Bharat Heavy Electricals-Retn</t>
  </si>
  <si>
    <t>Bharti Airtel Limited</t>
  </si>
  <si>
    <t>Bharti Airtel Limited-HR</t>
  </si>
  <si>
    <t>Bharti Airtel Services Ltd-HR</t>
  </si>
  <si>
    <t>Blue Star Limited</t>
  </si>
  <si>
    <t>Bnc Power Projects Limited-WB</t>
  </si>
  <si>
    <t>Brahma City Pvt. Ltd.-HR</t>
  </si>
  <si>
    <t>Catura Tech Automation Pvt.Ltd-Sale-Delhi</t>
  </si>
  <si>
    <t>Central Warehousing Corporation-Delhi</t>
  </si>
  <si>
    <t>Clear Trail Technologies Pvt Ltd.-UP-SEZ</t>
  </si>
  <si>
    <t>Cleartrail Technologies Pvt.Ltd-MP</t>
  </si>
  <si>
    <t>Continental Carbon India Private Ltd.</t>
  </si>
  <si>
    <t>Devki Devi Foundation-Delhi</t>
  </si>
  <si>
    <t>Dhruv Industries Ltd.-HR</t>
  </si>
  <si>
    <t>Dr Lal Path Labs Ltd.-HR</t>
  </si>
  <si>
    <t>Dr. Lal Path Labs Ltd.-Delhi</t>
  </si>
  <si>
    <t>Eastman Auto &amp; Power Ltd.-HR</t>
  </si>
  <si>
    <t>Elcomponics Sales Pvt. Ltd.-UP</t>
  </si>
  <si>
    <t>Emc Ltd ( Kalpaka )-AP</t>
  </si>
  <si>
    <t>Enrep Business Solutions LLP -UP</t>
  </si>
  <si>
    <t>Ester Industries Ltd.-HR</t>
  </si>
  <si>
    <t>Exato Technologies Private Limited-UP</t>
  </si>
  <si>
    <t>Fundamentum Investment Advisors LLP-HR</t>
  </si>
  <si>
    <t>Ge T&amp;D India Ltd-JH</t>
  </si>
  <si>
    <t>Ge Vernova T&amp;D India Limited</t>
  </si>
  <si>
    <t>Ge Vernova T&amp;D India Ltd-UP</t>
  </si>
  <si>
    <t>Gepdec Infratech Limited</t>
  </si>
  <si>
    <t>Godrej &amp; Boyce Mfg Co Ltd -KA</t>
  </si>
  <si>
    <t>Godrej &amp; Boyce Mfg Co. Ltd-BR</t>
  </si>
  <si>
    <t>Godrej &amp; Boyce Mfg.Co.Ltd-TG</t>
  </si>
  <si>
    <t>Gujarat Energy Transmission Corporation Lt-GJ</t>
  </si>
  <si>
    <t>Hartek Power Private Limited-PB</t>
  </si>
  <si>
    <t>Hindustan Gum &amp; Chemicals Ltd.-HR</t>
  </si>
  <si>
    <t>Hitachi Energy India Limited -KA</t>
  </si>
  <si>
    <t>Hitachi Energy India Limited-Angul-Retn</t>
  </si>
  <si>
    <t>Hitachi Energy India Limited-Bihar-Retn</t>
  </si>
  <si>
    <t>Hitachi Energy India Limited-BR</t>
  </si>
  <si>
    <t>Hitachi Energy India Limited-Chennai-Retn</t>
  </si>
  <si>
    <t>Hitachi Energy India Limited-Chhattisgarh-Retn</t>
  </si>
  <si>
    <t>Hitachi Energy India Limited-GJ</t>
  </si>
  <si>
    <t>Hitachi Energy India Limited-Haryana-Retn</t>
  </si>
  <si>
    <t>Hitachi Energy India Limited-OD</t>
  </si>
  <si>
    <t>Hyosung T&amp;D India Pvt Ltd.</t>
  </si>
  <si>
    <t>Identiqua Consulting Pvt. Ltd.</t>
  </si>
  <si>
    <t>Impetus Technologies India Pvt.Ltd-HR-SEZ</t>
  </si>
  <si>
    <t>Impetus Technologies India Pvt.Ltd-KA-SEZ</t>
  </si>
  <si>
    <t>Impetus Technologies India Pvt.Ltd-MP</t>
  </si>
  <si>
    <t>Impetus Technologies India Pvt.Ltd-MP-SEZ</t>
  </si>
  <si>
    <t>Impetus Technologies India Pvt.Ltd-UP-SEZ</t>
  </si>
  <si>
    <t>Industrial Bank Of Korea-Delhi</t>
  </si>
  <si>
    <t>Industrial Finance Corporation Of India (Ifci)-Del</t>
  </si>
  <si>
    <t>Intellicus Technologies Pvt.Ltd-MP</t>
  </si>
  <si>
    <t>Joint Venture Of Tata Proj. Ltd &amp; Raghava Const-TG</t>
  </si>
  <si>
    <t>K &amp; S Partners-HR</t>
  </si>
  <si>
    <t>K &amp;S Partners -Delhi</t>
  </si>
  <si>
    <t>Kalpataru Power Transmission Limited-Gaighata-Retn</t>
  </si>
  <si>
    <t>Kalpataru Power Transmission Limited-Ramgarh-Retn</t>
  </si>
  <si>
    <t>Kalpataru Power Transmission Limited-RJ</t>
  </si>
  <si>
    <t>Kalpataru Power Transmission Limited-WB</t>
  </si>
  <si>
    <t>Kalpataru Power Transmission Ltd-Chowadhi-Retn</t>
  </si>
  <si>
    <t>Kec International Limited-Ircon-Retn</t>
  </si>
  <si>
    <t>Kec International Limited-KA</t>
  </si>
  <si>
    <t>Kec International Ltd -GJ</t>
  </si>
  <si>
    <t>Kec International Ltd-HR</t>
  </si>
  <si>
    <t>Kec International Ltd-MH</t>
  </si>
  <si>
    <t>Kenwood &amp; Clifton Apartment Owners Welfare Ass</t>
  </si>
  <si>
    <t>Kohima-Mariani Transmission Limited-NL</t>
  </si>
  <si>
    <t>Kshema Power And Infrastructure Company Pvt Ltd-MP</t>
  </si>
  <si>
    <t>L &amp; T Construction-Hyderabad-Retn</t>
  </si>
  <si>
    <t>L &amp; T Construction-Nizamabad-Retn</t>
  </si>
  <si>
    <t>L &amp; T-Warangal-Retn</t>
  </si>
  <si>
    <t>Larsen &amp; Toubro Limited Construction-Amarapar-Retn</t>
  </si>
  <si>
    <t>Larsen &amp; Toubro Limited Construction-Jarmundi-Retn</t>
  </si>
  <si>
    <t>Larsen &amp; Toubro Limited Construction-Shikarip-Retn</t>
  </si>
  <si>
    <t>Larsen &amp; Toubro Limited Eccdivision-JusnlIrba-Retn</t>
  </si>
  <si>
    <t>Larsen &amp; Toubro Limited, Construction -WB</t>
  </si>
  <si>
    <t>Larsen &amp; Toubro Limited,Construction-Noida Retn</t>
  </si>
  <si>
    <t>Larsen &amp; Toubro Limited,Construction-GJ</t>
  </si>
  <si>
    <t>Larsen &amp; Toubro Limited,Construction-UP</t>
  </si>
  <si>
    <t>Larsen &amp; Toubro Limited.-TG</t>
  </si>
  <si>
    <t>Larsen &amp; Toubro Limited-Baneshwar-Retn</t>
  </si>
  <si>
    <t>Larsen &amp; Toubro Limited-Basantpur-Retn</t>
  </si>
  <si>
    <t>Larsen &amp; Toubro Limited-BR</t>
  </si>
  <si>
    <t>Larsen &amp; Toubro Limited-Const-Maheshwaram-Retn</t>
  </si>
  <si>
    <t>Larsen &amp; Toubro Limited-Jusnlangara-Retn</t>
  </si>
  <si>
    <t>Larsen &amp; Toubro Limited-JusnlSilli-Retn</t>
  </si>
  <si>
    <t>Larsen &amp; Toubro Limited-Kudgi-Retn</t>
  </si>
  <si>
    <t>Larsen &amp; Toubro Limited-Narlapur-Retn</t>
  </si>
  <si>
    <t>Larsen &amp; Toubro Limited-Ranchi-Retn</t>
  </si>
  <si>
    <t>Larsen &amp; Toubro Limited-Satgachia-Retn</t>
  </si>
  <si>
    <t>Larsen &amp; Toubro Limited-Tangedco-Retn</t>
  </si>
  <si>
    <t>Larsen &amp; Toubro Limited-Tumlingtar-Retn</t>
  </si>
  <si>
    <t>Larsen &amp; Toubro Limited-Vattem-Retn</t>
  </si>
  <si>
    <t>Larsen &amp; Toubro Limited-Wb-Mongolpur-Retn</t>
  </si>
  <si>
    <t>Larsen &amp; Toubro Limited-Yedula-Retn</t>
  </si>
  <si>
    <t>Larsen &amp; Toubro Ltd-AP</t>
  </si>
  <si>
    <t>Larsen &amp; Toubro Ltd-Construction-Peenya-Retn</t>
  </si>
  <si>
    <t>Larsen &amp; Toubro Ltd-Kurnool-Retn</t>
  </si>
  <si>
    <t>Larsen &amp; Toubro Ltd-TN</t>
  </si>
  <si>
    <t>Larsen &amp; Toubro Ltd-Tumkur-Retn</t>
  </si>
  <si>
    <t>Larsen &amp; Toubro Ltd-Varanasi-Retn</t>
  </si>
  <si>
    <t>Linxon India Private Limited</t>
  </si>
  <si>
    <t>AED</t>
  </si>
  <si>
    <t>Linxon India Private Limited-Ch</t>
  </si>
  <si>
    <t>Linxon India Private Limited-GJ</t>
  </si>
  <si>
    <t>Linxon India Pvt Ltd-Hiriyur-Retn</t>
  </si>
  <si>
    <t>Linxon India Pvt Ltd-KA</t>
  </si>
  <si>
    <t>Linxon India Pvt Ltd-PB</t>
  </si>
  <si>
    <t>Linxon India Pvt.Ltd -KL</t>
  </si>
  <si>
    <t>Linxon India Pvt.Ltd -TN</t>
  </si>
  <si>
    <t>Linxon India PvtLtd-Kochi-Retn</t>
  </si>
  <si>
    <t>Linxon India PvtLtd-Tuticorin-Retn</t>
  </si>
  <si>
    <t>Manglam Electricals-Delhi</t>
  </si>
  <si>
    <t>Manitou Equipment India Pvt. Ltd.-UP</t>
  </si>
  <si>
    <t>Max Healthcare Institute Ltd.-Delhi</t>
  </si>
  <si>
    <t>Modi Infosol Private Limited-Delhi</t>
  </si>
  <si>
    <t>Motherson Air Travel Agencies Ltd.-UP</t>
  </si>
  <si>
    <t>Mrs.Suman Sharma</t>
  </si>
  <si>
    <t>Newgen Software Technologies Ltd -UP-SEZ</t>
  </si>
  <si>
    <t>Nobility Business Services Private Limited-UP</t>
  </si>
  <si>
    <t>North East Healthcare Pvt. Ltd.-HR</t>
  </si>
  <si>
    <t>Ntt Data Information Processing Ser P.Ltd-KA-SEZ</t>
  </si>
  <si>
    <t>Ntt Data Information Processing Ser P.Ltd-TN-SEZ</t>
  </si>
  <si>
    <t>Ntt Data Information Processing Ser.P.Ltd-HR-SEZ</t>
  </si>
  <si>
    <t>Ntt Data Information Processing Ser.P.Ltd-TG-SEZ</t>
  </si>
  <si>
    <t>Ntt Data Information Processing Ser.Pvt Ltd.UP-SEZ</t>
  </si>
  <si>
    <t>Ntt Data Information Processing Service Pvt Ltd-KA</t>
  </si>
  <si>
    <t>Ntt Data Information Processing Services P.Ltd-MH</t>
  </si>
  <si>
    <t>Oil India Limited-UP</t>
  </si>
  <si>
    <t>Orient Fashion Exp ( India ) Pvt.Ltd -Delhi</t>
  </si>
  <si>
    <t>Orient Fashion Exports ( India ) Pvt.Ltd-UP</t>
  </si>
  <si>
    <t>Orient Fashion Exports (India) Pvt. Ltd.-HR</t>
  </si>
  <si>
    <t>Other Deduction-Pgcil-Retn</t>
  </si>
  <si>
    <t>Power Grid Corporatiion Of India Ltd-MH</t>
  </si>
  <si>
    <t>Power Grid Corporatiion Of India Ltd-Padghe-Retn</t>
  </si>
  <si>
    <t>Power Grid Corporation India Ltd-Trichur-Retn</t>
  </si>
  <si>
    <t>Power Grid Corporation Of India Limited-HR</t>
  </si>
  <si>
    <t>Power Grid Corporation Of India Ltd -AS</t>
  </si>
  <si>
    <t>Power Grid Corporation Of India Ltd -JH</t>
  </si>
  <si>
    <t>Power Grid Corporation Of India Ltd.-UP</t>
  </si>
  <si>
    <t>Power Grid Corporation Of India Ltd-Abdul Nr2-Retn</t>
  </si>
  <si>
    <t>Power Grid Corporation Of India Ltd-Agra-Retn</t>
  </si>
  <si>
    <t>Power Grid Corporation Of India Ltd-AP</t>
  </si>
  <si>
    <t>Power Grid Corporation Of India Ltd-AR</t>
  </si>
  <si>
    <t>Power Grid Corporation Of India Ltd-Ara-Retn</t>
  </si>
  <si>
    <t>Power Grid Corporation Of India Ltd-Assam-Retn</t>
  </si>
  <si>
    <t>Power Grid Corporation Of India Ltd-Bagpat-Retn</t>
  </si>
  <si>
    <t>Power Grid Corporation Of India Ltd-Banala-Retn</t>
  </si>
  <si>
    <t>Power Grid Corporation Of India Ltd-Banka-Retn</t>
  </si>
  <si>
    <t>Power Grid Corporation Of India Ltd-Biharshar-Retn</t>
  </si>
  <si>
    <t>Power Grid Corporation Of India Ltd-BR</t>
  </si>
  <si>
    <t>Power Grid Corporation Of India Ltd-Chaibasa-Retn</t>
  </si>
  <si>
    <t>Power Grid Corporation Of India Ltd-Chamba-Retn</t>
  </si>
  <si>
    <t>Power Grid Corporation Of India Ltd-Chandwa-Retn</t>
  </si>
  <si>
    <t>Power Grid Corporation Of India Ltd-Daltongan-Retn</t>
  </si>
  <si>
    <t>Power Grid Corporation Of India Ltd-Dehradun-Retn</t>
  </si>
  <si>
    <t>Power Grid Corporation Of India Ltd-Dharamj-Retn</t>
  </si>
  <si>
    <t>Power Grid Corporation Of India Ltd-Dimapur-Retn</t>
  </si>
  <si>
    <t>Power Grid Corporation Of India Ltd-Fatehabad-Retn</t>
  </si>
  <si>
    <t>Power Grid Corporation Of India Ltd-Gaya-Retn</t>
  </si>
  <si>
    <t>Power Grid Corporation Of India Ltd-Hamirpur-Retn</t>
  </si>
  <si>
    <t>Power Grid Corporation Of India Ltd-Hisar-Retn</t>
  </si>
  <si>
    <t>Power Grid Corporation Of India Ltd-HP</t>
  </si>
  <si>
    <t>Power Grid Corporation Of India Ltd-Hyde-Retn</t>
  </si>
  <si>
    <t>Power Grid Corporation Of India Ltd-J&amp;K</t>
  </si>
  <si>
    <t>Power Grid Corporation Of India Ltd-Jammu-Retn</t>
  </si>
  <si>
    <t>Power Grid Corporation Of India Ltd-Jamshedpu-Retn</t>
  </si>
  <si>
    <t>Power Grid Corporation Of India Ltd-Jind-Retn</t>
  </si>
  <si>
    <t>Power Grid Corporation Of India Ltd-Kadapa-Retn</t>
  </si>
  <si>
    <t>Power Grid Corporation Of India Ltd-Kaithal-Retn</t>
  </si>
  <si>
    <t>Power Grid Corporation Of India Ltd-Kishanganj-Ret</t>
  </si>
  <si>
    <t>Power Grid Corporation Of India Ltd-Kishenpur-Retn</t>
  </si>
  <si>
    <t>Power Grid Corporation Of India Ltd-KL</t>
  </si>
  <si>
    <t>Power Grid Corporation Of India Ltd-Kotesh-Retn</t>
  </si>
  <si>
    <t>Power Grid Corporation Of India Ltd-Lakhisara-Retn</t>
  </si>
  <si>
    <t>Power Grid Corporation Of India Ltd-Luckno-Retn</t>
  </si>
  <si>
    <t>Power Grid Corporation Of India Ltd-Ludhiana-Retn</t>
  </si>
  <si>
    <t>Power Grid Corporation Of India Ltd-Maharanib-Retn</t>
  </si>
  <si>
    <t>Power Grid Corporation Of India Ltd-Malerkotl-Retn</t>
  </si>
  <si>
    <t>Power Grid Corporation Of India Ltd-Moga-Retn</t>
  </si>
  <si>
    <t>Power Grid Corporation Of India Ltd-Muzaffarpu-Ret</t>
  </si>
  <si>
    <t>Power Grid Corporation Of India Ltd-Nalagarh-Retn</t>
  </si>
  <si>
    <t>Power Grid Corporation Of India Ltd-New Wanpoh-Ret</t>
  </si>
  <si>
    <t>Power Grid Corporation Of India Ltd-NewPurnea-Retn</t>
  </si>
  <si>
    <t>Power Grid Corporation Of India Ltd-NewRanchi-Retn</t>
  </si>
  <si>
    <t>Power Grid Corporation Of India Ltd-Nirjuli-Retn</t>
  </si>
  <si>
    <t>Power Grid Corporation Of India Ltd-NL</t>
  </si>
  <si>
    <t>Power Grid Corporation Of India Ltd-Np Kunta-Retn</t>
  </si>
  <si>
    <t>Power Grid Corporation Of India Ltd-Panchkula-Retn</t>
  </si>
  <si>
    <t>Power Grid Corporation Of India Ltd-Pandiabil-Retn</t>
  </si>
  <si>
    <t>Power Grid Corporation Of India Ltd-Pasuli-Retn</t>
  </si>
  <si>
    <t>Power Grid Corporation Of India Ltd-Patiala-Retn</t>
  </si>
  <si>
    <t>Power Grid Corporation Of India Ltd-Patna-Retn</t>
  </si>
  <si>
    <t>Power Grid Corporation Of India Ltd-PB</t>
  </si>
  <si>
    <t>Power Grid Corporation Of India Ltd-Raigarh-Retn</t>
  </si>
  <si>
    <t>Power Grid Corporation Of India Ltd-Ranchi Na-Retn</t>
  </si>
  <si>
    <t>Power Grid Corporation Of India Ltd-Samba-Retn</t>
  </si>
  <si>
    <t>Power Grid Corporation Of India Ltd-Satna-Retnt</t>
  </si>
  <si>
    <t>Power Grid Corporation Of India Ltd-Shujalpu-Retnt</t>
  </si>
  <si>
    <t>Power Grid Corporation Of India Ltd-Sonipat-Retn</t>
  </si>
  <si>
    <t>Power Grid Corporation Of India Ltd-Sr1-Gooty-Retn</t>
  </si>
  <si>
    <t>Power Grid Corporation Of India Ltd-Sr1-Kurno-Retn</t>
  </si>
  <si>
    <t>Power Grid Corporation Of India Ltd-Sr1-Munir-Retn</t>
  </si>
  <si>
    <t>Power Grid Corporation Of India Ltd-Sr1-Nagar-Retn</t>
  </si>
  <si>
    <t>Power Grid Corporation Of India Ltd-Sr1-NelPo-Retn</t>
  </si>
  <si>
    <t>Power Grid Corporation Of India Ltd-Sr1-Vemag-Retn</t>
  </si>
  <si>
    <t>Power Grid Corporation Of India Ltd-Sr1-Vijay-Retn</t>
  </si>
  <si>
    <t>Power Grid Corporation Of India Ltd-Sr1-Waran-Retn</t>
  </si>
  <si>
    <t>Power Grid Corporation Of India Ltd-TG</t>
  </si>
  <si>
    <t>Power Grid Corporation Of India Ltd-TN</t>
  </si>
  <si>
    <t>Power Grid Corporation Of India Ltd-Waggo Sri-Retn</t>
  </si>
  <si>
    <t>Power Grid Corporation Of India Ltd-Waggora -Retn</t>
  </si>
  <si>
    <t>Power Grid Corporation Of India Ltd-Wardh-Retn</t>
  </si>
  <si>
    <t>Power Grid Corporation Of IndiaLtd-Sr1-NewRai-Retn</t>
  </si>
  <si>
    <t>Power Grid Kala Amb Transmission Ltd-Retn</t>
  </si>
  <si>
    <t>Power Grid Suspense</t>
  </si>
  <si>
    <t>Powergrid Corporation Of India Limited -Delhi</t>
  </si>
  <si>
    <t>Powergrid Corporation Of India Ltd -RJ</t>
  </si>
  <si>
    <t>Powergrid Corporation Of India Ltd-CG</t>
  </si>
  <si>
    <t>Powergrid Corporation Of India Ltd-DD</t>
  </si>
  <si>
    <t>Powergrid Corporation Of India Ltd-MP</t>
  </si>
  <si>
    <t>Powergrid Corporation Of India Ltd-UK</t>
  </si>
  <si>
    <t>PVR Powercon Pvt. Ltd.</t>
  </si>
  <si>
    <t>Rgi Meditech Pvt.Ltd-UP</t>
  </si>
  <si>
    <t>Romsons Group Pvt.Ltd-UP</t>
  </si>
  <si>
    <t>Romsons International ( Unit-II )-UP</t>
  </si>
  <si>
    <t>Romsons Medworld Pvt. Ltd. - GJ</t>
  </si>
  <si>
    <t>Romsons Medworld Pvt.Ltd-UP</t>
  </si>
  <si>
    <t>Sarjan Realities Private Limited</t>
  </si>
  <si>
    <t>Satyabhama Hospitals Pvt. Ltd.-Delhi</t>
  </si>
  <si>
    <t>Schneider Electric Infrastructure Ltd-Okhla-Retn</t>
  </si>
  <si>
    <t>Shinjitsu India Private Limited</t>
  </si>
  <si>
    <t>Siemens Energy IN Ltd</t>
  </si>
  <si>
    <t>Snap-On Business Solutions India Pvt. Ltd.-UP</t>
  </si>
  <si>
    <t>Sohan Lal Commodity Management Pvt Ltd.-Delhi</t>
  </si>
  <si>
    <t>Sphere Com Services Pvt.Ltd - Sale-Delhi</t>
  </si>
  <si>
    <t>Srex Power India Pvt Ltd.-Delhi</t>
  </si>
  <si>
    <t>SREX Power India Pvt Ltd. - Retention</t>
  </si>
  <si>
    <t>Ssb Central Hospital &amp; Research Centre Ltd.-HR</t>
  </si>
  <si>
    <t>Stelmec Limited-OD</t>
  </si>
  <si>
    <t>Stelmec Limited Talcher - Retn</t>
  </si>
  <si>
    <t>Sterling And Wilson Pvt Ltd-J&amp;K</t>
  </si>
  <si>
    <t>Sterling And Wilson Pvt Ltd-Selvapuram-Retn</t>
  </si>
  <si>
    <t>Sterling And Wilson Pvt.Ltd.</t>
  </si>
  <si>
    <t>Sterling And Wilson PvtLtd-Bagula-Retn</t>
  </si>
  <si>
    <t>Sterling And Wilson PvtLtd-J&amp;K-Retn</t>
  </si>
  <si>
    <t>Sterling And Wilson PvtLtd-Kushmandi-Retn</t>
  </si>
  <si>
    <t>STS Infracon Private Limited</t>
  </si>
  <si>
    <t>Suspenses Debtors</t>
  </si>
  <si>
    <t>Tata Projects Limitd-Hindupur-Retn</t>
  </si>
  <si>
    <t>Tata Projects Limited-OD</t>
  </si>
  <si>
    <t>Tbea Energy India Pvt Ltd-GJ</t>
  </si>
  <si>
    <t>Techno Elecetric Engineering Co Ltd-Mohanlal-Retn</t>
  </si>
  <si>
    <t>Techno Electric &amp; Engg Co Ltd-Kurnool-Retn</t>
  </si>
  <si>
    <t>Techno Electric &amp; Engg Co Ltd-Pathanamthitta-Retn</t>
  </si>
  <si>
    <t>Techno Electric &amp; Engineering Co Ltd-Kakkad-Retn</t>
  </si>
  <si>
    <t>Techno Electric &amp; Engineering Co Ltd-Kunnamku-Retn</t>
  </si>
  <si>
    <t>Techno Electric &amp; Engineering Co Ltd-Nangalbi-Retn</t>
  </si>
  <si>
    <t>Techno Electric &amp; Engineering Co Ltd-Nizamaba-Retn</t>
  </si>
  <si>
    <t>Techno Electric &amp; Engineering Co Ltd-Rajgarh-Retn</t>
  </si>
  <si>
    <t>Techno Electric &amp; Engineering Co Ltd-Thal-Retn</t>
  </si>
  <si>
    <t>Techno Electric &amp; Engineering Co Ltd-Togo-Retn</t>
  </si>
  <si>
    <t>Techno Electric &amp; Engineering Co Ltd-Tuticori-Retn</t>
  </si>
  <si>
    <t>Techno Electric &amp; Engineering Co. Ltd</t>
  </si>
  <si>
    <t>Techno Electric &amp; Engineering Co. Ltd -RJ</t>
  </si>
  <si>
    <t>Techno Electric &amp; Engineering Co. Ltd.-AP</t>
  </si>
  <si>
    <t>Techno Electric &amp; Engineering CoLtd-Jodhpur-Retn</t>
  </si>
  <si>
    <t>The School Of Planning And Architecture-Delhi</t>
  </si>
  <si>
    <t>Trans Global Power Limited</t>
  </si>
  <si>
    <t>Trpc  Service Team Private  Limited.-HR</t>
  </si>
  <si>
    <t>Trpc Service Team Pvt.Ltd - TN</t>
  </si>
  <si>
    <t>Unitech Ltd.-HR</t>
  </si>
  <si>
    <t>Vertel Infotel Pvt Ltd.-Delhi</t>
  </si>
  <si>
    <t>Videonetics Technology Pvt Ltd-WB</t>
  </si>
  <si>
    <t>Vikran Engineering &amp; Exim Pvt Ltd-MH</t>
  </si>
  <si>
    <t>Vikran Engineering &amp; Exim Pvt. Ltd.-MP</t>
  </si>
  <si>
    <t>Vikran Engineering Ltd-BR</t>
  </si>
  <si>
    <t>Vinko Auto Industries Ltd-UP</t>
  </si>
  <si>
    <t>Virmani &amp; Associates Llp-Delhi</t>
  </si>
  <si>
    <t>WSP Consullant India Pvt.Ltd.</t>
  </si>
  <si>
    <t>Wsp Consultant India Pvt Ltd-KA</t>
  </si>
  <si>
    <t>Others</t>
  </si>
  <si>
    <t>AC LG 1.5TON (3 STAR)</t>
  </si>
  <si>
    <t>AC SAC VIDEOCON VS4T33</t>
  </si>
  <si>
    <t>Aditya Birla Finance Limited</t>
  </si>
  <si>
    <t>Administration Charges</t>
  </si>
  <si>
    <t>Administrative Charges</t>
  </si>
  <si>
    <t>Advance Tax</t>
  </si>
  <si>
    <t>Advertising Expenses</t>
  </si>
  <si>
    <t>Air Conditioner</t>
  </si>
  <si>
    <t>Air Conditioner LG 1.5 Ton</t>
  </si>
  <si>
    <t>AIR PURIFIER</t>
  </si>
  <si>
    <t>Air Ticket</t>
  </si>
  <si>
    <t>Alok Conv. &amp; Other Imprest A/c</t>
  </si>
  <si>
    <t>AMC Charges</t>
  </si>
  <si>
    <t>AMC Paid</t>
  </si>
  <si>
    <t>Amex Card Loan for Razor (RS Personal)</t>
  </si>
  <si>
    <t>Apple iPad 10 Gen</t>
  </si>
  <si>
    <t>Apple Iphone 12</t>
  </si>
  <si>
    <t>APPLE IPHONE 14</t>
  </si>
  <si>
    <t>APPLE IPHONE5 16GB BLACK</t>
  </si>
  <si>
    <t>APPLE MACBOOK  MBP 14 SPACE GREY/8C/10C LAPTOP</t>
  </si>
  <si>
    <t>APPLE MACBOOK AIR 13.3</t>
  </si>
  <si>
    <t>Ashok Imprest A/c</t>
  </si>
  <si>
    <t>Bad Debts Written Off</t>
  </si>
  <si>
    <t>Bajaj Finance Limited</t>
  </si>
  <si>
    <t>BANK CHARGES</t>
  </si>
  <si>
    <t>BANK CHARGES (GST)</t>
  </si>
  <si>
    <t xml:space="preserve">Bank Charges LC </t>
  </si>
  <si>
    <t>BANK CHARGES PAID ( BG)</t>
  </si>
  <si>
    <t>Basic Salary Pay</t>
  </si>
  <si>
    <t>BDS CHARGES PAID (BILL DISCOUNTING CHARGES )</t>
  </si>
  <si>
    <t>Bharti Airetl Limited  ( A/C : 7039390183 )</t>
  </si>
  <si>
    <t>Bharti Airetl Limited (A/c ID-1029227850) (RS &amp; SU</t>
  </si>
  <si>
    <t>Bharti Airetl Limited (PRI-18001030121 )7014959145</t>
  </si>
  <si>
    <t>Bharti Airetl Limited AIRTEL - RELATIONSHIP NO - 2</t>
  </si>
  <si>
    <t>Bharti Airetl Limited BROADBAND - 20003517828</t>
  </si>
  <si>
    <t>Bharti Airetl Limited BROADBAND - 7039390183 ( 011</t>
  </si>
  <si>
    <t>Bharti Airetl Limited Broadband(7021427579)</t>
  </si>
  <si>
    <t xml:space="preserve">Bharti Airetl Limited DATA CARD RELATIONSHIP NO - </t>
  </si>
  <si>
    <t>Bharti Airtel Ltd. R. NO - 1145989731</t>
  </si>
  <si>
    <t>Black Berry Phone</t>
  </si>
  <si>
    <t>Business Promotion Exp.</t>
  </si>
  <si>
    <t>Cable Rodder</t>
  </si>
  <si>
    <t>Canara Bank Loan-170002334690 (GECL1.0)</t>
  </si>
  <si>
    <t>Canara Bank MSME A/C - 90289160000116 (GECL1.0)</t>
  </si>
  <si>
    <t>Car Grand I10</t>
  </si>
  <si>
    <t>CAR Insurance Exps</t>
  </si>
  <si>
    <t>CAR Maintenance Charges</t>
  </si>
  <si>
    <t>CAR Maintenance Charges Non Gst</t>
  </si>
  <si>
    <t>Car Petrol- Rembursement</t>
  </si>
  <si>
    <t>Case Closer Fee</t>
  </si>
  <si>
    <t>Certification Charges</t>
  </si>
  <si>
    <t>Compaq CQ -42-450 Tu Laptop</t>
  </si>
  <si>
    <t>Computers</t>
  </si>
  <si>
    <t>Consulting Charges Paid</t>
  </si>
  <si>
    <t>CONTIANER</t>
  </si>
  <si>
    <t>Conveyance Exps</t>
  </si>
  <si>
    <t>Courrier Chargers</t>
  </si>
  <si>
    <t>Credit Card Amex Card- 376933008863001</t>
  </si>
  <si>
    <t>Credit Card Charges</t>
  </si>
  <si>
    <t>Credit Card HDFC Bank Credit Card-3829</t>
  </si>
  <si>
    <t>Credit Card INDUSIND CARD NO. 4147523012334006/405</t>
  </si>
  <si>
    <t>Credit Card RAVINDRA SINGH HSBC CREDIT CARD- 44769</t>
  </si>
  <si>
    <t>Credit Card RBL CREDIT CARD - 5239504603463202</t>
  </si>
  <si>
    <t>Credit Card YES BANK CREDIT CARD - 404638616013017</t>
  </si>
  <si>
    <t>Credit Card YES BANK CREDIT CARD-5589183020438208</t>
  </si>
  <si>
    <t>CUSTOME DUTY</t>
  </si>
  <si>
    <t>CYBEROAM DPU FOR CR-15I</t>
  </si>
  <si>
    <t>DAILY ALLOWANCE</t>
  </si>
  <si>
    <t>Deemed Export A/c</t>
  </si>
  <si>
    <t>Deepak Chaudhary Loans &amp; Advance</t>
  </si>
  <si>
    <t>Defferd  Tax Assets</t>
  </si>
  <si>
    <t>DELL LAPTOP</t>
  </si>
  <si>
    <t>DELL NOTEBOOK LATTITUDE 3460 N02L346003IN9 LAPTOP</t>
  </si>
  <si>
    <t>Depreciation</t>
  </si>
  <si>
    <t>Desoldering Pump</t>
  </si>
  <si>
    <t>Discount Paid A/c</t>
  </si>
  <si>
    <t>Discount Received on Purchase</t>
  </si>
  <si>
    <t>Diwan Conv. &amp; Other Imprest A/c</t>
  </si>
  <si>
    <t>Domain Expenses</t>
  </si>
  <si>
    <t>Domestic Sales A/c</t>
  </si>
  <si>
    <t>Driver Salary-Rembursement</t>
  </si>
  <si>
    <t>DSC-HX9V/B CAMERA</t>
  </si>
  <si>
    <t>Ductable Split Air Conditioning</t>
  </si>
  <si>
    <t>Durgesh Singh Conv. &amp; Other Imprest A/c</t>
  </si>
  <si>
    <t>EARNEST MONEY</t>
  </si>
  <si>
    <t>Electricity Charges - A-46</t>
  </si>
  <si>
    <t>Electricity Charges - A-7</t>
  </si>
  <si>
    <t>E-LG LED 80CM</t>
  </si>
  <si>
    <t>EPF &amp; ESI Expenses Paid</t>
  </si>
  <si>
    <t>EPF ( Employee Cont.    @12%</t>
  </si>
  <si>
    <t>EPF Payable</t>
  </si>
  <si>
    <t>ESI (Employee Cont.) @1.75%</t>
  </si>
  <si>
    <t>ESI A/c Payble</t>
  </si>
  <si>
    <t>FAN</t>
  </si>
  <si>
    <t>FDR AGAINST BG ( CANARA BANK) -14000 7015653-10</t>
  </si>
  <si>
    <t>FDR AGAINST BG SYNDICATE BANK - 0116</t>
  </si>
  <si>
    <t>FDR FOR AGAINST BG/LC PUNJAB &amp; NATIONAL BANK</t>
  </si>
  <si>
    <t>Ford Endeavour</t>
  </si>
  <si>
    <t>Foreign Exchange Fluctuation A/c</t>
  </si>
  <si>
    <t>Freeze</t>
  </si>
  <si>
    <t>Freight &amp; Insurance Charges</t>
  </si>
  <si>
    <t>Freight Charges Exempted</t>
  </si>
  <si>
    <t>Freight Charges Paid</t>
  </si>
  <si>
    <t>Freight Charges Paid @12%</t>
  </si>
  <si>
    <t>Freight Charges Paid @5%</t>
  </si>
  <si>
    <t>Freight Charges Paid Under RCM</t>
  </si>
  <si>
    <t>Freight Charges Recd.</t>
  </si>
  <si>
    <t>FRESH AIR 350 FILTER</t>
  </si>
  <si>
    <t>Fuel Surcharges/ Cash Back</t>
  </si>
  <si>
    <t>Furniture &amp; Fitting</t>
  </si>
  <si>
    <t>Gagan Conv. &amp; Other Imprest A/c</t>
  </si>
  <si>
    <t>Gajenderpal Imprest A/c</t>
  </si>
  <si>
    <t>Gajendra Pal Conv. &amp; Other Imprest A/c</t>
  </si>
  <si>
    <t>GEM Transaction Charges</t>
  </si>
  <si>
    <t>Godrej Finance Ltd</t>
  </si>
  <si>
    <t>GST  RCM Payable</t>
  </si>
  <si>
    <t>GST Hold</t>
  </si>
  <si>
    <t>GST Paid for Assessment</t>
  </si>
  <si>
    <t>GUEST HOUSE</t>
  </si>
  <si>
    <t>Handling Charges</t>
  </si>
  <si>
    <t>Hosting Charges</t>
  </si>
  <si>
    <t>House Rent Allowance</t>
  </si>
  <si>
    <t>HP 16S-GR0012AU (LAPTOP)</t>
  </si>
  <si>
    <t>HP 430(QG622PA) LAPTOP</t>
  </si>
  <si>
    <t>HP Laserjet Printer(Network)</t>
  </si>
  <si>
    <t>HR Software Expense</t>
  </si>
  <si>
    <t>ICOM Teleservices Pvt. Ltd.</t>
  </si>
  <si>
    <t>Import Purchase A/c</t>
  </si>
  <si>
    <t>Imprest A/c Alok Kumar</t>
  </si>
  <si>
    <t>Imprest A/c Anil Parashar</t>
  </si>
  <si>
    <t>Imprest A/c Ankita Jatwa</t>
  </si>
  <si>
    <t>Imprest A/c BALWANT</t>
  </si>
  <si>
    <t xml:space="preserve">Imprest A/c Chaitali Sasmal </t>
  </si>
  <si>
    <t>Imprest A/c CHANDAN KUMAR</t>
  </si>
  <si>
    <t xml:space="preserve">Imprest A/c Chetan Parashar </t>
  </si>
  <si>
    <t>Imprest A/c DEEPAK ARORA</t>
  </si>
  <si>
    <t>Imprest A/c Deepak Chaudhary</t>
  </si>
  <si>
    <t xml:space="preserve">Imprest A/c Diwan Singh Main </t>
  </si>
  <si>
    <t>Imprest A/c Durgesh Singh</t>
  </si>
  <si>
    <t xml:space="preserve">Imprest A/c Gagan Bansal </t>
  </si>
  <si>
    <t>Imprest A/c Hema Kaul</t>
  </si>
  <si>
    <t>Imprest A/c INDU YADAV</t>
  </si>
  <si>
    <t xml:space="preserve">Imprest A/c Jai Singh </t>
  </si>
  <si>
    <t xml:space="preserve">Imprest A/c Jitender Kumar </t>
  </si>
  <si>
    <t xml:space="preserve">Imprest A/c Jitender Kumar Singh </t>
  </si>
  <si>
    <t xml:space="preserve">Imprest A/c Karunesh kumar Gupta </t>
  </si>
  <si>
    <t>Imprest A/c LALAN</t>
  </si>
  <si>
    <t xml:space="preserve">Imprest A/c Mithlesh Kumar </t>
  </si>
  <si>
    <t>Imprest A/c Mohammad Saraf</t>
  </si>
  <si>
    <t>Imprest A/c Monu Pal</t>
  </si>
  <si>
    <t>Imprest A/c Neelima Sharma</t>
  </si>
  <si>
    <t xml:space="preserve">Imprest A/c NEETU </t>
  </si>
  <si>
    <t>Imprest A/c Nitesh Gusain Conv. &amp; Others</t>
  </si>
  <si>
    <t xml:space="preserve">Imprest A/c Om Shivam </t>
  </si>
  <si>
    <t>Imprest A/c Pankaj Kumar</t>
  </si>
  <si>
    <t>Imprest A/c PRADEEP KUMAR MADDHESHIYA</t>
  </si>
  <si>
    <t>Imprest A/c PRATAP</t>
  </si>
  <si>
    <t>Imprest A/c Rahul Chawla</t>
  </si>
  <si>
    <t>Imprest A/c Rahul kumar (ER)</t>
  </si>
  <si>
    <t>Imprest A/c RAHUL Office Boy</t>
  </si>
  <si>
    <t>Imprest A/c RASHMI ARORA</t>
  </si>
  <si>
    <t xml:space="preserve">Imprest A/c Ravindra Singh </t>
  </si>
  <si>
    <t>Imprest A/c Suman Singh</t>
  </si>
  <si>
    <t>Imprest A/c VIKRAM CHAUDHARY (TRAINEE)</t>
  </si>
  <si>
    <t>Imprest A/c VIKRAM SINGH</t>
  </si>
  <si>
    <t>Imprest A/c Vineet Chandra</t>
  </si>
  <si>
    <t>Incentive Payable - Alok Kumar</t>
  </si>
  <si>
    <t>Incentive Payable - Deepak Chaudhary</t>
  </si>
  <si>
    <t>Incentive Payable - Indu Yadav</t>
  </si>
  <si>
    <t>Incentive Payable - Jitender Kumar</t>
  </si>
  <si>
    <t>Incentive Payable - Mithlesh Kumar</t>
  </si>
  <si>
    <t>Incentive Payable - Satish Chandra</t>
  </si>
  <si>
    <t>Incentive Payable - Vineet Chandra</t>
  </si>
  <si>
    <t>INCRED FINANCIAL SERVICES LTD.</t>
  </si>
  <si>
    <t>Indusind Credit Lard Loan-1840 A/c</t>
  </si>
  <si>
    <t>Installation &amp; Commissioning Charges</t>
  </si>
  <si>
    <t>Installation Charges Paid</t>
  </si>
  <si>
    <t>Insurance Expense</t>
  </si>
  <si>
    <t>Insurance Expense on Supply of Material</t>
  </si>
  <si>
    <t>Interest Accrued on FDR</t>
  </si>
  <si>
    <t>INTEREST CHARGES PAID-OD (PUNJAB NATIONAL BANK 203</t>
  </si>
  <si>
    <t>INTEREST ON - FEDBANK (NBFC)-FEDDLH0BL0517134</t>
  </si>
  <si>
    <t>INTEREST ON-  FULLERTON  BANK (NBFC)A/C 0118024109</t>
  </si>
  <si>
    <t>INTEREST ON  LOAN</t>
  </si>
  <si>
    <t>Interest on Credit Card Loan</t>
  </si>
  <si>
    <t>INTEREST ON- DEUTSCHE BANK A/C-350020664250019</t>
  </si>
  <si>
    <t>Interest On FDR</t>
  </si>
  <si>
    <t>INTEREST ON- IDFC FIRST BANK-81142333</t>
  </si>
  <si>
    <t>Interest on Income Tax</t>
  </si>
  <si>
    <t>Interest on Tcs</t>
  </si>
  <si>
    <t>Interest on Tds</t>
  </si>
  <si>
    <t>INTEREST ON UGRO LOAN</t>
  </si>
  <si>
    <t>INTEREST ON YES BANK-BLN000301597784</t>
  </si>
  <si>
    <t>Interest Paid</t>
  </si>
  <si>
    <t>INTEREST-HERO FINCORP LTD-A/C HCFDELUBL00012911952</t>
  </si>
  <si>
    <t>IP OFFICE 406 V2</t>
  </si>
  <si>
    <t>ISO Certification Expenses</t>
  </si>
  <si>
    <t>Jai Singh Conv. &amp; Other Imprest A/c</t>
  </si>
  <si>
    <t>Jitender Kumar Conv. &amp; Other Imprest A/c</t>
  </si>
  <si>
    <t>Labour Charges</t>
  </si>
  <si>
    <t>LABOUR CHARGES (NON TAX)</t>
  </si>
  <si>
    <t>Laptop</t>
  </si>
  <si>
    <t>Laptop Admirale Zenith</t>
  </si>
  <si>
    <t>Laptop DELL</t>
  </si>
  <si>
    <t>Laptop Lenovo Nb 3000 N 1000768 Aq1</t>
  </si>
  <si>
    <t>Late Fee Non Tax</t>
  </si>
  <si>
    <t>LCD  TV</t>
  </si>
  <si>
    <t>Legal &amp; Professional Charges</t>
  </si>
  <si>
    <t>Legal &amp; Professional Fee</t>
  </si>
  <si>
    <t>Legal Charges-Notary ( Non Gst)</t>
  </si>
  <si>
    <t>LENOVO IDEAPAD B4080 80F600A9IH</t>
  </si>
  <si>
    <t>LENOVO IDEAPAD B4080 80F600DIH</t>
  </si>
  <si>
    <t>Lenovo IP 330s Laptop</t>
  </si>
  <si>
    <t>LENOVO LAPTOP B4080 (80LS0007IH)</t>
  </si>
  <si>
    <t>LENOVO THINKPAD T450 LAPTOP</t>
  </si>
  <si>
    <t>LENOVO V14 GEN2</t>
  </si>
  <si>
    <t>LENVO LAPTOP B 40-70 LAPTOP</t>
  </si>
  <si>
    <t>Limit Renewal Charges</t>
  </si>
  <si>
    <t>LIQUIDATED DAMAGES (LD) CHARGES</t>
  </si>
  <si>
    <t>LOAN ADVANCE (ARVIND SHRMA)</t>
  </si>
  <si>
    <t>LOAN ADVANCE (OM SHIVAM )</t>
  </si>
  <si>
    <t>LOAN FROM DEUTSCHE BANK A/C-350020664250019</t>
  </si>
  <si>
    <t>LOAN FROM FEDBANK (NBFC)-FEDDLH0BL0517134</t>
  </si>
  <si>
    <t>LOAN FROM FULLERTON NBFC A/C 011802410951091</t>
  </si>
  <si>
    <t>LOAN FROM IDFC FIRST BANK-81142333</t>
  </si>
  <si>
    <t>LOAN FROM-YES BANK A/C BLN000301597784</t>
  </si>
  <si>
    <t>Loan Processing Fee</t>
  </si>
  <si>
    <t>Loan Processing Fee (Non Tax)</t>
  </si>
  <si>
    <t>LOAN-HERO FINCORP LTD-A/C HCFDELUBL00012911952</t>
  </si>
  <si>
    <t>LONG DISTANCE</t>
  </si>
  <si>
    <t>LTA</t>
  </si>
  <si>
    <t>LUMINUS INVERTOR 1400 VA &amp; BATTERIES EXIDE 2NOS</t>
  </si>
  <si>
    <t>Manpower Charges</t>
  </si>
  <si>
    <t>MAT Credit</t>
  </si>
  <si>
    <t>Membership Fee</t>
  </si>
  <si>
    <t>Microsoft Office 365 Apps</t>
  </si>
  <si>
    <t>MICROWAVE WHIRPOOL</t>
  </si>
  <si>
    <t>Mithlesh Kumar Conv. &amp; Other Imprest A/c</t>
  </si>
  <si>
    <t>MLPG3HN/A IP-13 (IPHONE)</t>
  </si>
  <si>
    <t>MOBILE EXP. ( MONTHLY )</t>
  </si>
  <si>
    <t>Monthly Conveyance Exps</t>
  </si>
  <si>
    <t>Motorola Phone Moto G64 8+128</t>
  </si>
  <si>
    <t>Multi Meter</t>
  </si>
  <si>
    <t>NOKIA LUMIA 720 ( BLACK )</t>
  </si>
  <si>
    <t>Nokia-6681(Mobile)</t>
  </si>
  <si>
    <t>NOTEBOOK LENOVO</t>
  </si>
  <si>
    <t>NSIC Renewal Expenses</t>
  </si>
  <si>
    <t>OFFICE EXPENSES</t>
  </si>
  <si>
    <t>Office Expenses Non Tax</t>
  </si>
  <si>
    <t>Office Shifting Expense</t>
  </si>
  <si>
    <t>OnePlus 9 Pro</t>
  </si>
  <si>
    <t>Other Allowance</t>
  </si>
  <si>
    <t>Outstanding Demand and Interest Payable U/s 220(2)</t>
  </si>
  <si>
    <t>OXYZO FINANCIAL SERVICES LTD</t>
  </si>
  <si>
    <t>Packing Charges</t>
  </si>
  <si>
    <t>PANASONIC Display LH43RM1DX</t>
  </si>
  <si>
    <t>PANASONIC SPLIT AC 1.5 TON</t>
  </si>
  <si>
    <t>PENAL FEE DELAY</t>
  </si>
  <si>
    <t>Postage &amp; Courier</t>
  </si>
  <si>
    <t>Prepaid Exps - Insurance</t>
  </si>
  <si>
    <t>Prepaid Exps - Warranty Support Charges</t>
  </si>
  <si>
    <t>Process Fees of O.D</t>
  </si>
  <si>
    <t>Profectus Capital Private Ltd.</t>
  </si>
  <si>
    <t>Professional Expenses Paid</t>
  </si>
  <si>
    <t>Profit on sale of Car</t>
  </si>
  <si>
    <t>Project Management</t>
  </si>
  <si>
    <t>Purchase Goods A/c</t>
  </si>
  <si>
    <t>PURCHASE OTHER (SITE )</t>
  </si>
  <si>
    <t>Purchase Return A/c</t>
  </si>
  <si>
    <t>RAIL TICKET - CHARGES</t>
  </si>
  <si>
    <t>Rates &amp; Taxes</t>
  </si>
  <si>
    <t>RAVINDRA SINGH (LOAN)</t>
  </si>
  <si>
    <t>Ravindra Singh Imprest A/c</t>
  </si>
  <si>
    <t>RAVINDRA SINGH NEW HDFC-50100260757116</t>
  </si>
  <si>
    <t>RD A/C : SYNDICATE BANK - 91972550002385</t>
  </si>
  <si>
    <t>RD A/C : SYNDICATE BANK - 9197405000240 TD</t>
  </si>
  <si>
    <t>Rent Charges - A-46, 3rd Floor FIEE COMPLEX</t>
  </si>
  <si>
    <t>Rent Charges - A-7 FIEE COMPLEX</t>
  </si>
  <si>
    <t>Rent Charges - E-44/9</t>
  </si>
  <si>
    <t>Rental Charges on Plant &amp; Machinery</t>
  </si>
  <si>
    <t>Repair &amp; Maintenance Charges</t>
  </si>
  <si>
    <t>Repair &amp; Maintenance Non Tax</t>
  </si>
  <si>
    <t>Repairing Charges Received</t>
  </si>
  <si>
    <t>Reserve &amp; Surplus</t>
  </si>
  <si>
    <t>ROOM RENT ( PINTU KUMAR SHARMA )</t>
  </si>
  <si>
    <t>Rounding Off.</t>
  </si>
  <si>
    <t>SALARY IMPREST OF EMPLOYEES</t>
  </si>
  <si>
    <t>Salary Payable to Arvind Sharma</t>
  </si>
  <si>
    <t>Salary Payable to Bhavesh Jha</t>
  </si>
  <si>
    <t>Salary Payable to Bivash Chatterjee</t>
  </si>
  <si>
    <t>Salary Payable to Jasbir Singh</t>
  </si>
  <si>
    <t>Salary Payable to Nitin Kumar</t>
  </si>
  <si>
    <t>Salary Payable to OM Shivam</t>
  </si>
  <si>
    <t>Salary Payable to Pintu Kumar Sharma</t>
  </si>
  <si>
    <t>Salary Payable to Satish Chandra</t>
  </si>
  <si>
    <t>Salary Payable to Vijender</t>
  </si>
  <si>
    <t>Salary Payble To Alok Kumar</t>
  </si>
  <si>
    <t>Salary Payble To Anil Parashar</t>
  </si>
  <si>
    <t>Salary Payble To Ankita Jatwa</t>
  </si>
  <si>
    <t>Salary Payble To BALWANT</t>
  </si>
  <si>
    <t>Salary Payble To Chaitali Sasmal</t>
  </si>
  <si>
    <t>Salary Payble To CHANDAN KUMAR</t>
  </si>
  <si>
    <t>Salary Payble To Chetan Parashar</t>
  </si>
  <si>
    <t>Salary Payble To DEEPAK ARORA</t>
  </si>
  <si>
    <t>Salary Payble To Deepak Chaudhary</t>
  </si>
  <si>
    <t>Salary Payble To Diwan  Singh</t>
  </si>
  <si>
    <t>Salary Payble To Durgesh Singh</t>
  </si>
  <si>
    <t>Salary Payble To Gagan Bansal</t>
  </si>
  <si>
    <t>Salary Payble To Gajenderpal</t>
  </si>
  <si>
    <t>SALARY PAYBLE TO GAURAV KUMAR</t>
  </si>
  <si>
    <t>Salary Payble To Hema Kaul</t>
  </si>
  <si>
    <t>Salary Payble To INDU YADAV</t>
  </si>
  <si>
    <t>Salary Payble To Jai Singh</t>
  </si>
  <si>
    <t>Salary Payble To Jitender Kumar</t>
  </si>
  <si>
    <t>Salary Payble To Jitender Kumar Singh</t>
  </si>
  <si>
    <t>Salary Payble To KARUNESH Kumar Gupta</t>
  </si>
  <si>
    <t>Salary Payble To LALAN</t>
  </si>
  <si>
    <t>Salary Payble To Mithilesh</t>
  </si>
  <si>
    <t>Salary Payble To Mohammad Saraf</t>
  </si>
  <si>
    <t>Salary Payble To Monu Pal</t>
  </si>
  <si>
    <t>Salary Payble To Neelima Sharma</t>
  </si>
  <si>
    <t>Salary Payble To NEETU</t>
  </si>
  <si>
    <t>Salary Payble To NITISH GUSAIN</t>
  </si>
  <si>
    <t>Salary Payble To Pankaj Kumar</t>
  </si>
  <si>
    <t>Salary Payble To PRADEEP KUMAR MADDHESHIYA</t>
  </si>
  <si>
    <t>Salary Payble To PRATAP</t>
  </si>
  <si>
    <t>Salary Payble To RAHUL (office boy)</t>
  </si>
  <si>
    <t>Salary Payble To Rahul Chawla</t>
  </si>
  <si>
    <t>Salary Payble To Rahul kumar (ER)</t>
  </si>
  <si>
    <t>Salary Payble To RASHMI ARORA</t>
  </si>
  <si>
    <t>Salary Payble To Ravindra Singh</t>
  </si>
  <si>
    <t>Salary Payble To Suman Singh</t>
  </si>
  <si>
    <t>Salary Payble To VIKRAM CHAUDHARY (TRAINEE)</t>
  </si>
  <si>
    <t>Salary Payble To VIKRAM SINGH</t>
  </si>
  <si>
    <t>Salary Payble To Vineet Chandra</t>
  </si>
  <si>
    <t>Salary to Ravindra Singh</t>
  </si>
  <si>
    <t>Salary to Suman Singh</t>
  </si>
  <si>
    <t>Sales Goods SEZ A/c</t>
  </si>
  <si>
    <t>Sales Return A/c</t>
  </si>
  <si>
    <t>SAMSUNG LCD TV</t>
  </si>
  <si>
    <t>Samsung LED Frame QA65LS03DAULXL</t>
  </si>
  <si>
    <t>SAMSUNG NOTE3 9000( BL )</t>
  </si>
  <si>
    <t>Samsung SCX4300(Printer)</t>
  </si>
  <si>
    <t>Santro GLS Bright Silver</t>
  </si>
  <si>
    <t>Santro XL E3 REAL EARTH</t>
  </si>
  <si>
    <t>Satish Chandra Imperest A/c</t>
  </si>
  <si>
    <t>Screwdriver Set</t>
  </si>
  <si>
    <t>Security Deposit (A-7 Rent )</t>
  </si>
  <si>
    <t>Security with Rent ( A-46)</t>
  </si>
  <si>
    <t>SERVER MANAGED SERVICE</t>
  </si>
  <si>
    <t>Service &amp; Support Charges Paid</t>
  </si>
  <si>
    <t>Service Charges</t>
  </si>
  <si>
    <t>SERVICE CHARGES OTHER</t>
  </si>
  <si>
    <t>Share Holders's Fund</t>
  </si>
  <si>
    <t>SHORT &amp; EXCESS A/C</t>
  </si>
  <si>
    <t>Software Development Services ( ERP )</t>
  </si>
  <si>
    <t>Soldering Iron</t>
  </si>
  <si>
    <t>Soldering Wire</t>
  </si>
  <si>
    <t>Special Allowance Pay</t>
  </si>
  <si>
    <t>Staff Welfare</t>
  </si>
  <si>
    <t>Staff Welfare ( Office Staff Bag)</t>
  </si>
  <si>
    <t>Stationery &amp; Printing Exp.</t>
  </si>
  <si>
    <t>Stationery &amp; Printing Exp. Exempt</t>
  </si>
  <si>
    <t>Stationery &amp; Printing Exp.@ 12%</t>
  </si>
  <si>
    <t>Stock A/c</t>
  </si>
  <si>
    <t>Stock Insurance Exps</t>
  </si>
  <si>
    <t>Subscription Fee</t>
  </si>
  <si>
    <t>Suman Singh - LOAN</t>
  </si>
  <si>
    <t>SUMAN SINGH A/C 03961000011255</t>
  </si>
  <si>
    <t>Surcharge Exps</t>
  </si>
  <si>
    <t>TABLET BALCKBERYY PLAY BOOK - 32GB</t>
  </si>
  <si>
    <t>TALLY RENEWAL EXP.</t>
  </si>
  <si>
    <t>Tata Capital Limited</t>
  </si>
  <si>
    <t>TDS Late Return Fee</t>
  </si>
  <si>
    <t>TEA &amp; COFFEE VENDING MACHINE</t>
  </si>
  <si>
    <t>Telephone Exp. Gst</t>
  </si>
  <si>
    <t>Telephone Exp. Non Gst</t>
  </si>
  <si>
    <t>Tender &amp; Bidder Registration fees</t>
  </si>
  <si>
    <t>Tour &amp; Travelling Exp.</t>
  </si>
  <si>
    <t>Tour &amp; Travelling Exp.Non Gst</t>
  </si>
  <si>
    <t>TVS CREDIT SERVICES LIMITED</t>
  </si>
  <si>
    <t>Uniform Allawance</t>
  </si>
  <si>
    <t>Vechile Parking Charges</t>
  </si>
  <si>
    <t>Vehicle Maint. Re-Imbursem</t>
  </si>
  <si>
    <t>VIJENDER IMPREST A/C (Ravindra Singh Drver A/c)</t>
  </si>
  <si>
    <t>Vineet Chandra Conv. &amp; Other Imprest A/c</t>
  </si>
  <si>
    <t>Visit Charges</t>
  </si>
  <si>
    <t>Visit Charges for Services (Non Tax)</t>
  </si>
  <si>
    <t>Voltas A/c  1.5T Vertis</t>
  </si>
  <si>
    <t>Voltas Aircondion</t>
  </si>
  <si>
    <t>Warranty Support Charges</t>
  </si>
  <si>
    <t>Water Charges</t>
  </si>
  <si>
    <t>Water Cooler</t>
  </si>
  <si>
    <t>Xiaomi Note Book Pro</t>
  </si>
  <si>
    <t>Supplier</t>
  </si>
  <si>
    <t>A &amp; D Consultancy Services</t>
  </si>
  <si>
    <t>A&amp;T Services Inc</t>
  </si>
  <si>
    <t>Abhi Solution</t>
  </si>
  <si>
    <t>Absolut Info Systems Pvt.Ltd</t>
  </si>
  <si>
    <t>Accurate Roadlines (P) Ltd</t>
  </si>
  <si>
    <t>Aditya Infotech Limited</t>
  </si>
  <si>
    <t>Alisped India Private Limited</t>
  </si>
  <si>
    <t>Amazon Retail India Pvt Ltd</t>
  </si>
  <si>
    <t>Amresh Computer Solutions &amp; Enterprises</t>
  </si>
  <si>
    <t>Appario Retail Pvt.Ltd-Gurgaon</t>
  </si>
  <si>
    <t>Apple India Private Limited</t>
  </si>
  <si>
    <t>Archit Power Services</t>
  </si>
  <si>
    <t>Arihant Electronics</t>
  </si>
  <si>
    <t>Arise Security Systems</t>
  </si>
  <si>
    <t>ARYAN ENGINEERS &amp; CONTRACTORS</t>
  </si>
  <si>
    <t>AS Samad Computer Services Pvt. Ltd.</t>
  </si>
  <si>
    <t>Ashakaar Business Solutions</t>
  </si>
  <si>
    <t>Ashish Pipes</t>
  </si>
  <si>
    <t>Atos Global Llp ( Maharashtra )</t>
  </si>
  <si>
    <t>Avaya India Pvt.Ltd.</t>
  </si>
  <si>
    <t>Avit Digital Pvt. Ltd</t>
  </si>
  <si>
    <t>Avl Solutions</t>
  </si>
  <si>
    <t>AVS Infotech</t>
  </si>
  <si>
    <t>Bajaj Finance Ltd</t>
  </si>
  <si>
    <t>Balaji Electrical &amp; Services</t>
  </si>
  <si>
    <t>Bharti Airtel Relationship No - 7008420397</t>
  </si>
  <si>
    <t>Bharti Airtel Relationship No. 1029227850</t>
  </si>
  <si>
    <t>Bharti Airtel Relationship No. 1145989731</t>
  </si>
  <si>
    <t>Bharti Airtel Relationship no. 20000033317</t>
  </si>
  <si>
    <t>Bharti Airtel Relationship No. 20003517828</t>
  </si>
  <si>
    <t>Bharti Airtel Relationship No. 7014959145</t>
  </si>
  <si>
    <t>Bharti Airtel Relationship No. 7021427579</t>
  </si>
  <si>
    <t>Bharti Airtel Relationship No. 7039390183</t>
  </si>
  <si>
    <t>Bright Electrical Association</t>
  </si>
  <si>
    <t>Buddha International</t>
  </si>
  <si>
    <t>Camp Adda India Travel Private Limited</t>
  </si>
  <si>
    <t>Care Certification Pvt.Ltd.</t>
  </si>
  <si>
    <t>Catura Tech Automation Pvt. Ltd.</t>
  </si>
  <si>
    <t>Cavitak Marketing Pvt.Ltd</t>
  </si>
  <si>
    <t>CBASE Infotech India Pvt.Ltd</t>
  </si>
  <si>
    <t>Ceeco Technologies Pvt. Ltd.</t>
  </si>
  <si>
    <t>Clicktech Retail Pvt.Ltd - Gurgaon Manesar</t>
  </si>
  <si>
    <t>Comnet Infotech</t>
  </si>
  <si>
    <t>Comnet Vision India Pvt.Ltd</t>
  </si>
  <si>
    <t>Comply Works Ltd.</t>
  </si>
  <si>
    <t>Computer Junction Pvt.Ltd</t>
  </si>
  <si>
    <t>Computer Laptop Store</t>
  </si>
  <si>
    <t>Coralmax Engineering</t>
  </si>
  <si>
    <t>Cosmotech Communication Pvt Ltd.</t>
  </si>
  <si>
    <t>Cyan Technologyz</t>
  </si>
  <si>
    <t>D.P. Pac+I46kers</t>
  </si>
  <si>
    <t>D.S.L Technotronics</t>
  </si>
  <si>
    <t>Databridge Dynamic Pvt.Ltd</t>
  </si>
  <si>
    <t>Datacom Products India Private Limited</t>
  </si>
  <si>
    <t>Dawntech Electronics Pvt.Ltd-Amazon</t>
  </si>
  <si>
    <t>Dev Hardware Stores</t>
  </si>
  <si>
    <t>DIGIT Computers Pvt.Ltd</t>
  </si>
  <si>
    <t>Digital Consultants</t>
  </si>
  <si>
    <t>Dqap Systems Pvt.Ltd</t>
  </si>
  <si>
    <t>Du Data Rack Systems Pvt Ltd.</t>
  </si>
  <si>
    <t>Eagle Eye Networks</t>
  </si>
  <si>
    <t>Enrep Business Solutions Llp</t>
  </si>
  <si>
    <t>Esskay Compuservices Pvt Ltd</t>
  </si>
  <si>
    <t>Expotrade</t>
  </si>
  <si>
    <t>Frame Technology Marketing Services Pvt.Ltd</t>
  </si>
  <si>
    <t>Gagan Print &amp; Packaging</t>
  </si>
  <si>
    <t>Gaurav &amp; Disha Associates</t>
  </si>
  <si>
    <t>Ge Vernova T&amp;D India Limited-Purchase</t>
  </si>
  <si>
    <t>Glory Infocom Pvt.Ltd</t>
  </si>
  <si>
    <t>Goip Global Service Pvt. Ltd.</t>
  </si>
  <si>
    <t>Google India Private Limited</t>
  </si>
  <si>
    <t>Government Emarket Place</t>
  </si>
  <si>
    <t>Goyal Electricals and Electronic</t>
  </si>
  <si>
    <t>Grn Telecom</t>
  </si>
  <si>
    <t>H.K Water Supplier</t>
  </si>
  <si>
    <t>Haril Systems</t>
  </si>
  <si>
    <t>Hotel Bluestone</t>
  </si>
  <si>
    <t>Hp India Sale Pvt Ltd</t>
  </si>
  <si>
    <t>Hulasi Metals Pvt.Ltd</t>
  </si>
  <si>
    <t>Hytek Telesystems</t>
  </si>
  <si>
    <t>I Com Teleservices Pvt Ltd ( Purchase )</t>
  </si>
  <si>
    <t>I Thinker LLP</t>
  </si>
  <si>
    <t>I2v Systems Pvt. Ltd.</t>
  </si>
  <si>
    <t>Identiqa Consulting Private Limited - Delhi</t>
  </si>
  <si>
    <t>Identiqa Consulting Pvt.Ltd - HR</t>
  </si>
  <si>
    <t>Iffco Tokio General Insurance Co Ltd.</t>
  </si>
  <si>
    <t>Incred Financial Services Ltd.-Delhi</t>
  </si>
  <si>
    <t>Infiniti Retail Limited</t>
  </si>
  <si>
    <t>Inflow Technologies Private Limited- TN</t>
  </si>
  <si>
    <t>Inflow Technologies Pvt.Ltd-Delhi</t>
  </si>
  <si>
    <t>Info Edge India Ltd</t>
  </si>
  <si>
    <t>Iris Global Services Pvt Ltd.</t>
  </si>
  <si>
    <t>Iris Global Services Pvt.Ltd - Chennai</t>
  </si>
  <si>
    <t>It Group</t>
  </si>
  <si>
    <t>ITBABAONLINE.COM</t>
  </si>
  <si>
    <t>J P Minda And Partners</t>
  </si>
  <si>
    <t>Jabra Connect India Pvt.Ltd</t>
  </si>
  <si>
    <t>Janakpur Securities Systems</t>
  </si>
  <si>
    <t>Karma Computer</t>
  </si>
  <si>
    <t>Kasturi Lal Jai Parkash</t>
  </si>
  <si>
    <t>Keenfinity India Pvt. Ltd.,</t>
  </si>
  <si>
    <t>Khurana Digital Print Solution</t>
  </si>
  <si>
    <t>Knewtech Vision</t>
  </si>
  <si>
    <t>Komal Psr Projects</t>
  </si>
  <si>
    <t>Kookmin Bank Creditors</t>
  </si>
  <si>
    <t>Kothari Electricals</t>
  </si>
  <si>
    <t>Kreative Solution</t>
  </si>
  <si>
    <t>Krishna Fire Security Systems</t>
  </si>
  <si>
    <t>Krivam Road Carriers</t>
  </si>
  <si>
    <t>Kylas Technologies Pvt.Ltd</t>
  </si>
  <si>
    <t>Lalit Grover</t>
  </si>
  <si>
    <t>Lekh Raj &amp; Sons</t>
  </si>
  <si>
    <t>M/s Chevron Hotels and Resorts</t>
  </si>
  <si>
    <t>Madan Jha &amp; Associates (Sales)</t>
  </si>
  <si>
    <t>Madan Jha Associates-Monthly Bill In</t>
  </si>
  <si>
    <t>Mahamai's Guru Electronics</t>
  </si>
  <si>
    <t>Mahindra Holiday's Resorts India Ltd</t>
  </si>
  <si>
    <t>Makhan Kushwah - 35318100017109</t>
  </si>
  <si>
    <t>Makhan Kushwaha-996210110001530</t>
  </si>
  <si>
    <t>Mars Printech Pvt. Ltd.</t>
  </si>
  <si>
    <t>MIEUX TECHNOLOGIES PVT.LTD</t>
  </si>
  <si>
    <t>Mishra Enterprise ( Sushil Kumar Mishra )</t>
  </si>
  <si>
    <t>Mitco Global Commerce (Opc) Private Limited</t>
  </si>
  <si>
    <t>Mts Infonet Media Pvt. Ltd.</t>
  </si>
  <si>
    <t>Muskan Logistics</t>
  </si>
  <si>
    <t>National Insurance Co Ltd ( Transit Insurance)</t>
  </si>
  <si>
    <t>National Insurance Company Ltd.</t>
  </si>
  <si>
    <t>Network Systems</t>
  </si>
  <si>
    <t>One Cube Solution Pvt.Ltd</t>
  </si>
  <si>
    <t>One Min CV LLP</t>
  </si>
  <si>
    <t>One Min CV LLP Delhi</t>
  </si>
  <si>
    <t>Operant Infotech Pvt Ltd (UP)</t>
  </si>
  <si>
    <t>P. K. Electricals</t>
  </si>
  <si>
    <t>Park Network Pvt Ltd</t>
  </si>
  <si>
    <t>Peopleprosper Technologies Pvt Ltd</t>
  </si>
  <si>
    <t>Perfect Computer</t>
  </si>
  <si>
    <t>Ppm Consultants Pvt.Ltd</t>
  </si>
  <si>
    <t>PR Server Solutions Pvt.Ltd</t>
  </si>
  <si>
    <t>Prama Hikvision India  Private Limited</t>
  </si>
  <si>
    <t>Prem Kumar</t>
  </si>
  <si>
    <t>Premier Tissues India Limited</t>
  </si>
  <si>
    <t>Prime Cable Industries Pvt.Ltd</t>
  </si>
  <si>
    <t>Print 24 By 7</t>
  </si>
  <si>
    <t>Proconnect Supply Chain Solution Limited</t>
  </si>
  <si>
    <t>Protek System India Pvt.Ltd</t>
  </si>
  <si>
    <t>Qlo Networks Private Limited</t>
  </si>
  <si>
    <t>Rah Infotech Pvt.Ltd</t>
  </si>
  <si>
    <t>Rahul Mathur</t>
  </si>
  <si>
    <t>Rajesh Singh &amp; Associates</t>
  </si>
  <si>
    <t>Rajinder Kumar &amp; Sons Huf</t>
  </si>
  <si>
    <t>Rajnish Kumar Thakur</t>
  </si>
  <si>
    <t>Rajpriya Infosure Services</t>
  </si>
  <si>
    <t>Rambir Rai ( Ramveer Rai )</t>
  </si>
  <si>
    <t>Rashi Peripherals Ltd</t>
  </si>
  <si>
    <t>Ravindar Sharma</t>
  </si>
  <si>
    <t>Raz*Elevate Now</t>
  </si>
  <si>
    <t>Receivables Exchange Of India Ltd</t>
  </si>
  <si>
    <t>Redington Limited</t>
  </si>
  <si>
    <t>Renuka Enterprises</t>
  </si>
  <si>
    <t>Retailez Private Limited-Lucknow ( Uttar Pradesh )</t>
  </si>
  <si>
    <t>Rishabh Infotech</t>
  </si>
  <si>
    <t>Rnt Fire Solution (Prop. Ram Naresh Tomar)</t>
  </si>
  <si>
    <t>Rpit Tech India Pvt Ltd.</t>
  </si>
  <si>
    <t>Rudra Enterprise Computer Solution</t>
  </si>
  <si>
    <t>Rukmat Travels</t>
  </si>
  <si>
    <t>S.D Packers</t>
  </si>
  <si>
    <t>Sam Infosystems</t>
  </si>
  <si>
    <t>Samriddhi Automations Pvt. Ltd.</t>
  </si>
  <si>
    <t>San Telequip Pvt. Ltd.</t>
  </si>
  <si>
    <t>Sankalp Road Carrier</t>
  </si>
  <si>
    <t>Sanso Networks Pvt.Ltd</t>
  </si>
  <si>
    <t>Sanstar Microsystems Pvt Ltd</t>
  </si>
  <si>
    <t>Santosh Kumar Sinh</t>
  </si>
  <si>
    <t>SARAN CONSTRUCTION</t>
  </si>
  <si>
    <t>Saraswati Accountants Software Pvt Ltd</t>
  </si>
  <si>
    <t>Satyam Road Lines</t>
  </si>
  <si>
    <t>Satyawali Global India Private Limited</t>
  </si>
  <si>
    <t>Savex Technologies Private Limited</t>
  </si>
  <si>
    <t>Savex Technologies Private Limited-HR</t>
  </si>
  <si>
    <t>Sgs Info Solutions Private Limited</t>
  </si>
  <si>
    <t>Sharp Infotech</t>
  </si>
  <si>
    <t>Shree Balaji Enterprises</t>
  </si>
  <si>
    <t>Shree Pawan Autowheels Pvt. Ltd.</t>
  </si>
  <si>
    <t>Shrimahabir Electronicals India Private Limited</t>
  </si>
  <si>
    <t>Siddhivinayak International</t>
  </si>
  <si>
    <t>Sidhi Vinayak Industrial Corporation</t>
  </si>
  <si>
    <t>Singh Security Solutions</t>
  </si>
  <si>
    <t>Skybox Traders</t>
  </si>
  <si>
    <t>Smergers Online Services Private Limited</t>
  </si>
  <si>
    <t>Soham Enterprises</t>
  </si>
  <si>
    <t>Solus Security Systems Pvt Ltd</t>
  </si>
  <si>
    <t>Specialized Destination Services Private Limited</t>
  </si>
  <si>
    <t>Spectra Technovision India Pvt.Ltd</t>
  </si>
  <si>
    <t>Square Brothers Info Tech Pvt Ltd.</t>
  </si>
  <si>
    <t>Ss Network Systems</t>
  </si>
  <si>
    <t>Starlink Technologies</t>
  </si>
  <si>
    <t>Stellar Pc Solution</t>
  </si>
  <si>
    <t>Sun Motoric Instruments</t>
  </si>
  <si>
    <t>Sun Shine Enterprises</t>
  </si>
  <si>
    <t>Sunil Kumar Sharma</t>
  </si>
  <si>
    <t>Sunil Tempo Service</t>
  </si>
  <si>
    <t>Supertron Electronics Pvt.Ltd</t>
  </si>
  <si>
    <t>Swadhin SA</t>
  </si>
  <si>
    <t>Tarik Mani Kathuria</t>
  </si>
  <si>
    <t>Task Tracker Pvt. Ltd.</t>
  </si>
  <si>
    <t>Tci Express Limited</t>
  </si>
  <si>
    <t>Techroutes Network Private Limited</t>
  </si>
  <si>
    <t>Techserv Innovations Pvt Ltd</t>
  </si>
  <si>
    <t>Tejas Express Logistics-Delhi</t>
  </si>
  <si>
    <t>Telescientific</t>
  </si>
  <si>
    <t>Telesoft  ( Delhi )</t>
  </si>
  <si>
    <t>The Elements</t>
  </si>
  <si>
    <t>Thrillophilia Wilmington</t>
  </si>
  <si>
    <t>Triple A Outsourcing Llp</t>
  </si>
  <si>
    <t>Trishank Technologies Private Limited</t>
  </si>
  <si>
    <t>Uneecops Workplace Solutions Pvt Ltd</t>
  </si>
  <si>
    <t>Unilab Power Systems</t>
  </si>
  <si>
    <t>Unique Compusoft Pvt.Ltd.</t>
  </si>
  <si>
    <t>United Control Engineers India Pvt Ltd</t>
  </si>
  <si>
    <t>United India Insurance Co. Ltd.</t>
  </si>
  <si>
    <t>Value Line Interiors Pvt.Ltd</t>
  </si>
  <si>
    <t>Vansh</t>
  </si>
  <si>
    <t>Varahi Ltd.</t>
  </si>
  <si>
    <t>Vav Smart Care</t>
  </si>
  <si>
    <t>Venkateshwara Electricals</t>
  </si>
  <si>
    <t>VG Networks</t>
  </si>
  <si>
    <t>Videonetics Technology Pvt.Ltd (Purchase )</t>
  </si>
  <si>
    <t>Vijay Sales</t>
  </si>
  <si>
    <t>Vineeta Grover</t>
  </si>
  <si>
    <t>Vipul Printers &amp; Stationers</t>
  </si>
  <si>
    <t>Vishwas Management Service</t>
  </si>
  <si>
    <t>VIVOTEK India</t>
  </si>
  <si>
    <t>Vtr Infotech Pvt.Ltd</t>
  </si>
  <si>
    <t>Wg's</t>
  </si>
  <si>
    <t>Yash Tiles &amp; Sainitary House</t>
  </si>
  <si>
    <t>Yog Computer And Peripherals</t>
  </si>
  <si>
    <t>Zener Systems Pvt. Ltd.</t>
  </si>
  <si>
    <t>Zenith Enterprises</t>
  </si>
  <si>
    <t>Tax</t>
  </si>
  <si>
    <t>CGST 14%</t>
  </si>
  <si>
    <t>CGST 2.5%</t>
  </si>
  <si>
    <t>CGST 6%</t>
  </si>
  <si>
    <t>CGST 9%</t>
  </si>
  <si>
    <t>CGST RCM</t>
  </si>
  <si>
    <t>CGST Reversal</t>
  </si>
  <si>
    <t>IGST 0.1%</t>
  </si>
  <si>
    <t>IGST 12%</t>
  </si>
  <si>
    <t>IGST 18 %</t>
  </si>
  <si>
    <t>IGST 28%</t>
  </si>
  <si>
    <t>IGST 5%</t>
  </si>
  <si>
    <t>IGST RCM</t>
  </si>
  <si>
    <t>IGST Reversal</t>
  </si>
  <si>
    <t>SGST 14%</t>
  </si>
  <si>
    <t>SGST 2.5%</t>
  </si>
  <si>
    <t>SGST 6%</t>
  </si>
  <si>
    <t>SGST 9%</t>
  </si>
  <si>
    <t>SGST RCM</t>
  </si>
  <si>
    <t>SGST Reversal</t>
  </si>
  <si>
    <t>TCS Receivable</t>
  </si>
  <si>
    <t>TDS On GST Receivable</t>
  </si>
  <si>
    <t>TDS Payble On Commission ( Sec 194H)</t>
  </si>
  <si>
    <t>TDS Payble On Contract ( Sec 194C)</t>
  </si>
  <si>
    <t>TDS Payble On Goods ( Sec 194Q)</t>
  </si>
  <si>
    <t>TDS Payble On Interest charges by NBFC ( Sec 194A)</t>
  </si>
  <si>
    <t>TDS Payble On Professional ( Sec 194J)</t>
  </si>
  <si>
    <t>TDS Payble On Rent ( Sec 194I)</t>
  </si>
  <si>
    <t>TDS Payble On Salaries ( Sec 192B)</t>
  </si>
  <si>
    <t>TDS Receivable</t>
  </si>
  <si>
    <t>TDS Receivable - 2025-2026</t>
  </si>
  <si>
    <t>TDS Receivable on GST (Cgst)</t>
  </si>
  <si>
    <t>TDS Receivable on GST (Igst)</t>
  </si>
  <si>
    <t>TDS Receivable on GST (Sgst)</t>
  </si>
  <si>
    <t>Vat Refund Claimed F.Y 2013-14</t>
  </si>
  <si>
    <t>Tax Authority</t>
  </si>
  <si>
    <t>Central Tax Authority</t>
  </si>
  <si>
    <t xml:space="preserve">Income Tax Authority </t>
  </si>
  <si>
    <t>State Tax Authority</t>
  </si>
  <si>
    <t>Bill Number*(max 50 characters)</t>
  </si>
  <si>
    <t>Bill Date*</t>
  </si>
  <si>
    <t>Amount*</t>
  </si>
  <si>
    <t>DTPLTI2324-347</t>
  </si>
  <si>
    <t>DTPLTI2324-358</t>
  </si>
  <si>
    <t>DTPLTI2425-211</t>
  </si>
  <si>
    <t>DTPLTI2324-112</t>
  </si>
  <si>
    <t>DTPLTI2122-230</t>
  </si>
  <si>
    <t>DTPLTI2122-237</t>
  </si>
  <si>
    <t>DTPLTI2122-269</t>
  </si>
  <si>
    <t>DTPLTI2223-314</t>
  </si>
  <si>
    <t>DTPLTI2223-193</t>
  </si>
  <si>
    <t>DTPLTI2223-194</t>
  </si>
  <si>
    <t>DTPLTI2223-439</t>
  </si>
  <si>
    <t>DTPLTI2122-389</t>
  </si>
  <si>
    <t>DTPLTI2223-010</t>
  </si>
  <si>
    <t>DTPLTI2324-036</t>
  </si>
  <si>
    <t>DTPLTI2324-103</t>
  </si>
  <si>
    <t>DTPLTI2425-115</t>
  </si>
  <si>
    <t>DTPLTI2122-327</t>
  </si>
  <si>
    <t>DTPLTI2324-116</t>
  </si>
  <si>
    <t>DTPLTI2425-325</t>
  </si>
  <si>
    <t>DTPLTI2425-268</t>
  </si>
  <si>
    <t>DTPLTI2223-316</t>
  </si>
  <si>
    <t>DTPLTI2223-350</t>
  </si>
  <si>
    <t>DTPLTI2223-354</t>
  </si>
  <si>
    <t>DTPLTI2223-356</t>
  </si>
  <si>
    <t>DTPLTI2223-357</t>
  </si>
  <si>
    <t>DTPLTI2223-358</t>
  </si>
  <si>
    <t>DTPLTI2223-361</t>
  </si>
  <si>
    <t>DTPLTI2223-420</t>
  </si>
  <si>
    <t>DTPLTI22-23-0044</t>
  </si>
  <si>
    <t>DTPLTI2324-025</t>
  </si>
  <si>
    <t>DTPLTI2324-039</t>
  </si>
  <si>
    <t>DTPLTI2324-104</t>
  </si>
  <si>
    <t>DTPLTI2324-225</t>
  </si>
  <si>
    <t>DTPLTI2223-382</t>
  </si>
  <si>
    <t>DTPLTI2223-034</t>
  </si>
  <si>
    <t>DTPLTI2425-318</t>
  </si>
  <si>
    <t>DTPLTI2425-319</t>
  </si>
  <si>
    <t>DTPLTI2425-320</t>
  </si>
  <si>
    <t>DTPLTI2425-321</t>
  </si>
  <si>
    <t>DTPLTI2223-449</t>
  </si>
  <si>
    <t>DTPLTI2425-260</t>
  </si>
  <si>
    <t>DTPLTI2425-256</t>
  </si>
  <si>
    <t>DTPLTI2425-308</t>
  </si>
  <si>
    <t>DTPLTI2425-219</t>
  </si>
  <si>
    <t>DTPLDN2425-006</t>
  </si>
  <si>
    <t>DTPLTI2324-125</t>
  </si>
  <si>
    <t>DTPLTI2425-281</t>
  </si>
  <si>
    <t>DTPLTI2425-304</t>
  </si>
  <si>
    <t>DTPLTI2324-306</t>
  </si>
  <si>
    <t>DTPLTI2223-239</t>
  </si>
  <si>
    <t>DTPLTI2223-143</t>
  </si>
  <si>
    <t>DTPLTI2223-142</t>
  </si>
  <si>
    <t>DTPLTI2223-149</t>
  </si>
  <si>
    <t>DTPLTI2223-150</t>
  </si>
  <si>
    <t>DTPLTI2425-090</t>
  </si>
  <si>
    <t>DTPLTI2223-426</t>
  </si>
  <si>
    <t>DTPLTI2324-028</t>
  </si>
  <si>
    <t>DTPLTI2324-308</t>
  </si>
  <si>
    <t>DTPLTI2324-353</t>
  </si>
  <si>
    <t>DTPLTI2425-296</t>
  </si>
  <si>
    <t>DTPLTI2425-314</t>
  </si>
  <si>
    <t>DTPLTI2324-346</t>
  </si>
  <si>
    <t>DTPLTI2425-323</t>
  </si>
  <si>
    <t>DTPL/SI/2015-16/232</t>
  </si>
  <si>
    <t>DTPLSER/1819/053</t>
  </si>
  <si>
    <t>DTPL/SI/2015-16/241</t>
  </si>
  <si>
    <t>DTPL/SI/2014-15/131</t>
  </si>
  <si>
    <t>DTPLTAX202178</t>
  </si>
  <si>
    <t>DTPLTAX202179</t>
  </si>
  <si>
    <t>DTPLTAX202180</t>
  </si>
  <si>
    <t>DTPLTI2122-72</t>
  </si>
  <si>
    <t>DTPLTI2122-126</t>
  </si>
  <si>
    <t>DTPLTI2425-315</t>
  </si>
  <si>
    <t>DTPLTI2425-316</t>
  </si>
  <si>
    <t>DTPLTI2425-317</t>
  </si>
  <si>
    <t>DTPLTI2425-221</t>
  </si>
  <si>
    <t>DTPLTI2425-272</t>
  </si>
  <si>
    <t>DTPLTI2425-277</t>
  </si>
  <si>
    <t>DTPLTI2425-278</t>
  </si>
  <si>
    <t>DTPLTI2425-279</t>
  </si>
  <si>
    <t>DTPLTI2425-280</t>
  </si>
  <si>
    <t>DTPLTAX202115</t>
  </si>
  <si>
    <t>DTPLTAX202111</t>
  </si>
  <si>
    <t>DTPLTI2425-075</t>
  </si>
  <si>
    <t>DTPLTI2122-106</t>
  </si>
  <si>
    <t>DTPLTI2122-105</t>
  </si>
  <si>
    <t>DTPL/SI/2016-17/013</t>
  </si>
  <si>
    <t>DTPLTI2122-186</t>
  </si>
  <si>
    <t>DTPLTAX202136</t>
  </si>
  <si>
    <t>DTPLTI2425-212</t>
  </si>
  <si>
    <t>DTPLTI2223-102</t>
  </si>
  <si>
    <t>DTPLTI2223-101</t>
  </si>
  <si>
    <t>DTPLTI2122-412</t>
  </si>
  <si>
    <t>DTPLTI2122-413</t>
  </si>
  <si>
    <t>DTPLTAX202113</t>
  </si>
  <si>
    <t>DTPLTI2122-122</t>
  </si>
  <si>
    <t>DTPLTI2324-265</t>
  </si>
  <si>
    <t>DTPLTI2122-121</t>
  </si>
  <si>
    <t>DTPLTI2324-141</t>
  </si>
  <si>
    <t>DTPLGSI/1819/190</t>
  </si>
  <si>
    <t>DTPLTI2425-076</t>
  </si>
  <si>
    <t>DTPL/SI/2017-18/037</t>
  </si>
  <si>
    <t>DTPL/2015-16/05</t>
  </si>
  <si>
    <t>DTPL/SER/2016-17/149</t>
  </si>
  <si>
    <t>DTPLTI2223-311</t>
  </si>
  <si>
    <t>DTPLTI2425-305</t>
  </si>
  <si>
    <t>DTPLTI2223-388</t>
  </si>
  <si>
    <t>DTPLTI2324-350</t>
  </si>
  <si>
    <t>DTPLTI2223-413</t>
  </si>
  <si>
    <t>DTPLTI2324-351</t>
  </si>
  <si>
    <t>DTPLTI2425-226</t>
  </si>
  <si>
    <t>DTPL/TAX/2012-13/164</t>
  </si>
  <si>
    <t>DTPLSER2021177</t>
  </si>
  <si>
    <t>DTPLTAX202171</t>
  </si>
  <si>
    <t>DTPLTI2122-03</t>
  </si>
  <si>
    <t>DTPLTI2122-146</t>
  </si>
  <si>
    <t>DTPLTI2122-323</t>
  </si>
  <si>
    <t>DTPLTAX202192</t>
  </si>
  <si>
    <t>DTPLTI2223-254</t>
  </si>
  <si>
    <t>DTPLTI2223-195</t>
  </si>
  <si>
    <t>DTPLTI2223-118</t>
  </si>
  <si>
    <t>DTPLTI2223-164</t>
  </si>
  <si>
    <t>DTPLTI2223-079</t>
  </si>
  <si>
    <t>DTPLTI2122-356</t>
  </si>
  <si>
    <t>DTPLTI2122-396</t>
  </si>
  <si>
    <t>DTPLTI2223-339</t>
  </si>
  <si>
    <t>DTPLTI2223-294</t>
  </si>
  <si>
    <t>DTPLTI2324-288</t>
  </si>
  <si>
    <t>DTPL2223-394</t>
  </si>
  <si>
    <t>DTPLTI2324-178</t>
  </si>
  <si>
    <t>DTPLTI2324-239</t>
  </si>
  <si>
    <t>DTPLTI2324-258</t>
  </si>
  <si>
    <t>DTPLTI2324-364</t>
  </si>
  <si>
    <t>DTPLTI2425-033</t>
  </si>
  <si>
    <t>DTPLTI2324-327</t>
  </si>
  <si>
    <t>DTPLTI2324-316</t>
  </si>
  <si>
    <t>DTPLTI2324-313</t>
  </si>
  <si>
    <t>DTPLTI2425-088</t>
  </si>
  <si>
    <t>DTPLTI2425-131</t>
  </si>
  <si>
    <t>DTPLTI2324-229</t>
  </si>
  <si>
    <t>DTPLTI2324-271</t>
  </si>
  <si>
    <t>DTPLTI2324-299</t>
  </si>
  <si>
    <t>DTPLTI2324-322</t>
  </si>
  <si>
    <t>DTPLTI2425-038</t>
  </si>
  <si>
    <t>DTPLTI2425-178</t>
  </si>
  <si>
    <t>DTPLTI2425-110</t>
  </si>
  <si>
    <t>DTPLTI2425-136</t>
  </si>
  <si>
    <t>DTPLTI2425-172</t>
  </si>
  <si>
    <t>DTPLTAX202167</t>
  </si>
  <si>
    <t>DTPLTAX2021179</t>
  </si>
  <si>
    <t>DTPLTI2223-120</t>
  </si>
  <si>
    <t>DTPLTI2223-165</t>
  </si>
  <si>
    <t>DTPLTI2122-360</t>
  </si>
  <si>
    <t>DTPLTI2122-397</t>
  </si>
  <si>
    <t>DTPLTI2223-395</t>
  </si>
  <si>
    <t>DTPLTI2223-341</t>
  </si>
  <si>
    <t>DTPLTI2223-309</t>
  </si>
  <si>
    <t>DTPLTI2223-255</t>
  </si>
  <si>
    <t>DTPLTI2223-196</t>
  </si>
  <si>
    <t>DTPLTI2324-087</t>
  </si>
  <si>
    <t>DTPLTI2223-256</t>
  </si>
  <si>
    <t>DTPLTI2223-307</t>
  </si>
  <si>
    <t>DTPLTI2223-396</t>
  </si>
  <si>
    <t>DTPLTI2122-398</t>
  </si>
  <si>
    <t>DTPLTI2122-361</t>
  </si>
  <si>
    <t>DTPLTI2223-166</t>
  </si>
  <si>
    <t>DTPLTI2223-121</t>
  </si>
  <si>
    <t>DTPLTI2223-197</t>
  </si>
  <si>
    <t>DTPLTI2223-081</t>
  </si>
  <si>
    <t>DTPLTI2223-343</t>
  </si>
  <si>
    <t>DTPLTI2425-149</t>
  </si>
  <si>
    <t>DTPLTI2223-267</t>
  </si>
  <si>
    <t>DTPLTI2223-273</t>
  </si>
  <si>
    <t>DTPLTI2223-302</t>
  </si>
  <si>
    <t>DTPLTI2223-190</t>
  </si>
  <si>
    <t>DTPLTI2223-092</t>
  </si>
  <si>
    <t>DTPLTI2223-177</t>
  </si>
  <si>
    <t>DTPLTI2223-132</t>
  </si>
  <si>
    <t>DTPLTI2122-349</t>
  </si>
  <si>
    <t>DTPLTI2122-409</t>
  </si>
  <si>
    <t>DTPLTI2223-407</t>
  </si>
  <si>
    <t>DTPLTI2425-151</t>
  </si>
  <si>
    <t>DTPLTAX2021152</t>
  </si>
  <si>
    <t>DTPLTI2223-274</t>
  </si>
  <si>
    <t>DTPLTI2223-299</t>
  </si>
  <si>
    <t>DTPLTI2223-408</t>
  </si>
  <si>
    <t>DTPLTI2122-350</t>
  </si>
  <si>
    <t>DTPLTI2223-133</t>
  </si>
  <si>
    <t>DTPLTI2223-093</t>
  </si>
  <si>
    <t>DTPLTI2223-178</t>
  </si>
  <si>
    <t>DTPLTI2223-191</t>
  </si>
  <si>
    <t>DTPLTI2223-268</t>
  </si>
  <si>
    <t>DTPLTI2324-252</t>
  </si>
  <si>
    <t>DTPLTI2122-410</t>
  </si>
  <si>
    <t>DTPLTI2223-300</t>
  </si>
  <si>
    <t>DTPLTI2223-409</t>
  </si>
  <si>
    <t>DTPLTI2223-275</t>
  </si>
  <si>
    <t>DTPLTI2223-269</t>
  </si>
  <si>
    <t>DTPLTI2223-134</t>
  </si>
  <si>
    <t>DTPLTI2223-094</t>
  </si>
  <si>
    <t>DTPLTI2223-179</t>
  </si>
  <si>
    <t>DTPLTI2223-192</t>
  </si>
  <si>
    <t>DTPLTI2122-351</t>
  </si>
  <si>
    <t>DTPLTI2122-411</t>
  </si>
  <si>
    <t>DTPLTI2324-086</t>
  </si>
  <si>
    <t>DTPLTI2324-230</t>
  </si>
  <si>
    <t>DTPLTI2324-300</t>
  </si>
  <si>
    <t>DTPLTI2324-273</t>
  </si>
  <si>
    <t>DTPLTI2324-323</t>
  </si>
  <si>
    <t>DTPLTI2425-040</t>
  </si>
  <si>
    <t>DTPLTI2425-068</t>
  </si>
  <si>
    <t>DTPLTI2425-124</t>
  </si>
  <si>
    <t>DTPLTI2425-171</t>
  </si>
  <si>
    <t>DTPLTI2425-144</t>
  </si>
  <si>
    <t>DTPLTI2425-137</t>
  </si>
  <si>
    <t>DTPLTI2425-179</t>
  </si>
  <si>
    <t>DTPLTI2324-330</t>
  </si>
  <si>
    <t>DTPLTI2324-177</t>
  </si>
  <si>
    <t>DTPLTI2324-315</t>
  </si>
  <si>
    <t>DTPLTI2324-363</t>
  </si>
  <si>
    <t>DTPLTI2324-326</t>
  </si>
  <si>
    <t>DTPLTI2425-032</t>
  </si>
  <si>
    <t>DTPLTI2324-227</t>
  </si>
  <si>
    <t>DTPLTI2324-257</t>
  </si>
  <si>
    <t>DTPLTI2425-087</t>
  </si>
  <si>
    <t>DTPLTAX202181</t>
  </si>
  <si>
    <t>DTPLTAX2021178</t>
  </si>
  <si>
    <t>DTPLTI2122-12</t>
  </si>
  <si>
    <t>DTPLTI2223-151</t>
  </si>
  <si>
    <t>DTPLTI2223-306</t>
  </si>
  <si>
    <t>DTPLTI2223-257</t>
  </si>
  <si>
    <t>DTPLTI2223-340</t>
  </si>
  <si>
    <t>DTPLTI2223-397</t>
  </si>
  <si>
    <t>DTPLTI2122-399</t>
  </si>
  <si>
    <t>DTPLTI2223-082</t>
  </si>
  <si>
    <t>DTPLTI2223-198</t>
  </si>
  <si>
    <t>DTPLTI2223-167</t>
  </si>
  <si>
    <t>DTPLTI2223-122</t>
  </si>
  <si>
    <t>DTPLTI2122-357</t>
  </si>
  <si>
    <t>DTPLTI2324-331</t>
  </si>
  <si>
    <t>DTPLTAX202188</t>
  </si>
  <si>
    <t>DTPLTAX2021155</t>
  </si>
  <si>
    <t>DTPLTI2122-41</t>
  </si>
  <si>
    <t>DTPLTI2122-104</t>
  </si>
  <si>
    <t>DTPLTI2324-233</t>
  </si>
  <si>
    <t>DTPLTI2324-269</t>
  </si>
  <si>
    <t>DTPLTI2324-297</t>
  </si>
  <si>
    <t>DTPLTI2425-042</t>
  </si>
  <si>
    <t>DTPLTI2324-320</t>
  </si>
  <si>
    <t>DTPLTI2425-141</t>
  </si>
  <si>
    <t>DTPLTI2425-132</t>
  </si>
  <si>
    <t>DTPLTAX2021204</t>
  </si>
  <si>
    <t>DTPLTI2122-103</t>
  </si>
  <si>
    <t>DTPLTI2223-270</t>
  </si>
  <si>
    <t>DTPLTI2223-297</t>
  </si>
  <si>
    <t>DTPLTI2223-404</t>
  </si>
  <si>
    <t>DTPLTI2122-346</t>
  </si>
  <si>
    <t>DTPLTI2122-406</t>
  </si>
  <si>
    <t>DTPLTI2223-089</t>
  </si>
  <si>
    <t>DTPLTI2223-129</t>
  </si>
  <si>
    <t>DTPLTI2223-174</t>
  </si>
  <si>
    <t>DTPLTI2223-187</t>
  </si>
  <si>
    <t>DTPLTI2223-264</t>
  </si>
  <si>
    <t>DTPLTI2324-251</t>
  </si>
  <si>
    <t>DTPL2324-234</t>
  </si>
  <si>
    <t>DTPL2324-268</t>
  </si>
  <si>
    <t>DTPL2324-296</t>
  </si>
  <si>
    <t>DTPL2324-319</t>
  </si>
  <si>
    <t>DTPL2425-041</t>
  </si>
  <si>
    <t>DTPL2425-139</t>
  </si>
  <si>
    <t>DTPL2425-134</t>
  </si>
  <si>
    <t>DTPL2122-02</t>
  </si>
  <si>
    <t>DTPL2122-187</t>
  </si>
  <si>
    <t>DTPLTI2122-90</t>
  </si>
  <si>
    <t>DTPLTI2223-398</t>
  </si>
  <si>
    <t>DTPLTI2223-258</t>
  </si>
  <si>
    <t>DTPLTI2223-199</t>
  </si>
  <si>
    <t>DTPLTI2223-083</t>
  </si>
  <si>
    <t>DTPLTI2223-168</t>
  </si>
  <si>
    <t>DTPLTI2223-123</t>
  </si>
  <si>
    <t>DTPLTI2122-362</t>
  </si>
  <si>
    <t>DTPLTI2223-305</t>
  </si>
  <si>
    <t>DTPLTI2223-336</t>
  </si>
  <si>
    <t>DTPLTI2324-266</t>
  </si>
  <si>
    <t>DTPLTI2122-400</t>
  </si>
  <si>
    <t>DTPLTAX202193</t>
  </si>
  <si>
    <t>DTPL/GSI/1718/56</t>
  </si>
  <si>
    <t>Freight Charges</t>
  </si>
  <si>
    <t>DTPLTI2122-11</t>
  </si>
  <si>
    <t>DTPLTI2122-163</t>
  </si>
  <si>
    <t>DTPLTI2122-325</t>
  </si>
  <si>
    <t>DTPLTI2324-154</t>
  </si>
  <si>
    <t>DTPLTI2425-300</t>
  </si>
  <si>
    <t>DTPLTI2425-301</t>
  </si>
  <si>
    <t>DTPL2324-231</t>
  </si>
  <si>
    <t>DTPL2324-272</t>
  </si>
  <si>
    <t>DTPL2324-301</t>
  </si>
  <si>
    <t>DTPL2324-324</t>
  </si>
  <si>
    <t>DTPL2425-039</t>
  </si>
  <si>
    <t>DTPL2425-128</t>
  </si>
  <si>
    <t>DTPLTI2223-259</t>
  </si>
  <si>
    <t>DTPLTI2223-308</t>
  </si>
  <si>
    <t>DTPLTI2223-342</t>
  </si>
  <si>
    <t>DTPLTI2223-399</t>
  </si>
  <si>
    <t>DTPLTI2122-363</t>
  </si>
  <si>
    <t>DTPLTI2122-401</t>
  </si>
  <si>
    <t>DTPLTI2223-124</t>
  </si>
  <si>
    <t>DTPLTI2223-084</t>
  </si>
  <si>
    <t>DTPLTI2223-169</t>
  </si>
  <si>
    <t>DTPLTI2223-200</t>
  </si>
  <si>
    <t>DTPLTI2324-339</t>
  </si>
  <si>
    <t>DTPLSER/1819/258</t>
  </si>
  <si>
    <t>DTPLSER/1920/099</t>
  </si>
  <si>
    <t>DTPLTI2324-105</t>
  </si>
  <si>
    <t>DTPLTAX202169</t>
  </si>
  <si>
    <t>DTPLTI2122-04</t>
  </si>
  <si>
    <t>DTPLTI2122-147</t>
  </si>
  <si>
    <t>DTPLTI2324-235</t>
  </si>
  <si>
    <t>DTPLTI2324-274</t>
  </si>
  <si>
    <t>DTPLTI2324-302</t>
  </si>
  <si>
    <t>DTPLTI2324-325</t>
  </si>
  <si>
    <t>DTPLTI2425-044</t>
  </si>
  <si>
    <t>DTPLTI2425-142</t>
  </si>
  <si>
    <t>DTPLTI2425-138</t>
  </si>
  <si>
    <t>DTPLTI2425-223</t>
  </si>
  <si>
    <t>DTPLTI2122-321</t>
  </si>
  <si>
    <t>DTPLTI2223-215</t>
  </si>
  <si>
    <t>DTPLTI2223-147</t>
  </si>
  <si>
    <t>DTPLTAX202163</t>
  </si>
  <si>
    <t>DTPLTI2122-07</t>
  </si>
  <si>
    <t>DTPLTI2122-322</t>
  </si>
  <si>
    <t>DTPLTI2223-078</t>
  </si>
  <si>
    <t>DTPLTI2223-253</t>
  </si>
  <si>
    <t>DTPLTI2425-202</t>
  </si>
  <si>
    <t>DTPLTI2223-400</t>
  </si>
  <si>
    <t>DTPLTI2122-355</t>
  </si>
  <si>
    <t>DTPLTI2122-402</t>
  </si>
  <si>
    <t>DTPLTI2223-170</t>
  </si>
  <si>
    <t>DTPLTI2223-125</t>
  </si>
  <si>
    <t>DTPLTI2223-085</t>
  </si>
  <si>
    <t>DTPLTI2223-201</t>
  </si>
  <si>
    <t>DTPLTI2223-334</t>
  </si>
  <si>
    <t>DTPLTI2324-088</t>
  </si>
  <si>
    <t>DTPLTI2223-260</t>
  </si>
  <si>
    <t>DTPLTAX2021172</t>
  </si>
  <si>
    <t>DTPLTAX2021181</t>
  </si>
  <si>
    <t>DTPLTI2122-78</t>
  </si>
  <si>
    <t>DTPLTI2122-324</t>
  </si>
  <si>
    <t>DTPLTI2122-10</t>
  </si>
  <si>
    <t>DTPLTI2122-85</t>
  </si>
  <si>
    <t>DTPLTI2122-270</t>
  </si>
  <si>
    <t>DTPLTI2122-305</t>
  </si>
  <si>
    <t>DTPLTI2223-359</t>
  </si>
  <si>
    <t>DTPLTI2223-136</t>
  </si>
  <si>
    <t>DTPLTI2223-261</t>
  </si>
  <si>
    <t>DTPLTI2223-401</t>
  </si>
  <si>
    <t>DTPLTI2223-086</t>
  </si>
  <si>
    <t>DTPLTI2223-126</t>
  </si>
  <si>
    <t>DTPLTI2223-171</t>
  </si>
  <si>
    <t>DTPLTI2122-403</t>
  </si>
  <si>
    <t>DTPLTI2223-202</t>
  </si>
  <si>
    <t>DTPLTI2122-364</t>
  </si>
  <si>
    <t>DTPLTI2223-335</t>
  </si>
  <si>
    <t>DTPLTI2223-304</t>
  </si>
  <si>
    <t>DTPLTI2425-247</t>
  </si>
  <si>
    <t>DTPLTI2223-265</t>
  </si>
  <si>
    <t>DTPLTI2223-271</t>
  </si>
  <si>
    <t>DTPLTI2223-301</t>
  </si>
  <si>
    <t>DTPLTI2223-405</t>
  </si>
  <si>
    <t>DTPLTI2223-090</t>
  </si>
  <si>
    <t>DTPLTI2122-407</t>
  </si>
  <si>
    <t>DTPLTI2122-347</t>
  </si>
  <si>
    <t>DTPLTI2223-175</t>
  </si>
  <si>
    <t>DTPLTI2324-115</t>
  </si>
  <si>
    <t>DTPLTI2223-130</t>
  </si>
  <si>
    <t>DTPLTI2223-188</t>
  </si>
  <si>
    <t>DTPLTI2324-179</t>
  </si>
  <si>
    <t>DTPLTI2324-228</t>
  </si>
  <si>
    <t>DTPLTI2324-259</t>
  </si>
  <si>
    <t>DTPLTI2324-365</t>
  </si>
  <si>
    <t>DTPLTI2425-034</t>
  </si>
  <si>
    <t>DTPLTI2324-317</t>
  </si>
  <si>
    <t>DTPLTI2324-328</t>
  </si>
  <si>
    <t>DTPLTI2324-314</t>
  </si>
  <si>
    <t>DTPLTI2425-089</t>
  </si>
  <si>
    <t>DTPLTI2324-312</t>
  </si>
  <si>
    <t>DTPLTI2324-216</t>
  </si>
  <si>
    <t>DTPLTAX202177</t>
  </si>
  <si>
    <t>DTPLTI2122-79</t>
  </si>
  <si>
    <t>DTPLTI2223-453</t>
  </si>
  <si>
    <t>DTPLTI2223-263</t>
  </si>
  <si>
    <t>DTPLTI/2223-296</t>
  </si>
  <si>
    <t>DTPLTI2223-403</t>
  </si>
  <si>
    <t>DTPLTI2223-204</t>
  </si>
  <si>
    <t>DTPLTI2223-173</t>
  </si>
  <si>
    <t>DTPLTI2223-128</t>
  </si>
  <si>
    <t>DTPLTI2223-088</t>
  </si>
  <si>
    <t>DTPLTI2122-359</t>
  </si>
  <si>
    <t>DTPLTI2223-338</t>
  </si>
  <si>
    <t>DTPLTI2425-170</t>
  </si>
  <si>
    <t>DTPLTAX202168</t>
  </si>
  <si>
    <t>DTPLTAX2021180</t>
  </si>
  <si>
    <t>DTPLTI2223-214</t>
  </si>
  <si>
    <t>DTPLTI2223-262</t>
  </si>
  <si>
    <t>DTPLTI2223-295</t>
  </si>
  <si>
    <t>DTPLTI2223-333</t>
  </si>
  <si>
    <t>DTPLTI2223-402</t>
  </si>
  <si>
    <t>DTPLTI2223-172</t>
  </si>
  <si>
    <t>DTPLTI2122-404</t>
  </si>
  <si>
    <t>DTPLTI2122-358</t>
  </si>
  <si>
    <t>DTPLTI2223-127</t>
  </si>
  <si>
    <t>DTPLTI2223-203</t>
  </si>
  <si>
    <t>DTPLTI2324-267</t>
  </si>
  <si>
    <t>DTPLTI2223-087</t>
  </si>
  <si>
    <t>DTPLTI2223-116</t>
  </si>
  <si>
    <t>DTPLTI2425-302</t>
  </si>
  <si>
    <t>DTPLSER/1920/033</t>
  </si>
  <si>
    <t>DTPLSER/1920/062</t>
  </si>
  <si>
    <t>DTPLTI2425-028</t>
  </si>
  <si>
    <t>DTPLTI2122-348</t>
  </si>
  <si>
    <t>DTPLTI/2223-298</t>
  </si>
  <si>
    <t>DTPLTI2122-408</t>
  </si>
  <si>
    <t>DTPLTI2223-091</t>
  </si>
  <si>
    <t>DTPLTI2223-131</t>
  </si>
  <si>
    <t>DTPLTI2223-176</t>
  </si>
  <si>
    <t>DTPLTI2223-189</t>
  </si>
  <si>
    <t>DTPLTI2223-266</t>
  </si>
  <si>
    <t>DTPLTI2223-272</t>
  </si>
  <si>
    <t>DTPLTI2223-406</t>
  </si>
  <si>
    <t>DTPLTI2223-355</t>
  </si>
  <si>
    <t>DTPLTI2223-046</t>
  </si>
  <si>
    <t>DTPLTI2122-320</t>
  </si>
  <si>
    <t>DTPLTI2223-415</t>
  </si>
  <si>
    <t>DTPLTI2324-077</t>
  </si>
  <si>
    <t>DTPL/SI/2016-17/232</t>
  </si>
  <si>
    <t>DTPLTI2223-237</t>
  </si>
  <si>
    <t>DTPLTI2223-445</t>
  </si>
  <si>
    <t>DTPLTI23-24-046</t>
  </si>
  <si>
    <t>DTPLTI2324-107</t>
  </si>
  <si>
    <t>DTPLTI2324-260</t>
  </si>
  <si>
    <t>DTPLTI2425-061</t>
  </si>
  <si>
    <t>DTPLTI2425-114</t>
  </si>
  <si>
    <t>DTPLTI2425-210</t>
  </si>
  <si>
    <t>DTPLTI2425-271</t>
  </si>
  <si>
    <t>DTPLTI2324-232</t>
  </si>
  <si>
    <t>DTPLTI2324-270</t>
  </si>
  <si>
    <t>DTPLTI2324-298</t>
  </si>
  <si>
    <t>DTPLTI2324-321</t>
  </si>
  <si>
    <t>DTPLTI2425-043</t>
  </si>
  <si>
    <t>DTPLTI2425-133</t>
  </si>
  <si>
    <t>DTPLTI2425-140</t>
  </si>
  <si>
    <t>DTPLTI2324-206</t>
  </si>
  <si>
    <t>DTPLTI2324-215</t>
  </si>
  <si>
    <t>DTPLTI2324-219</t>
  </si>
  <si>
    <t>DTPLTI2324-218</t>
  </si>
  <si>
    <t>DTPLTI2324-208</t>
  </si>
  <si>
    <t>DTPLTI2324-205</t>
  </si>
  <si>
    <t>DTPLTI2324-210</t>
  </si>
  <si>
    <t>DTPLTI2122-284</t>
  </si>
  <si>
    <t>DTPLTI2324-217</t>
  </si>
  <si>
    <t>DTPLTAX202162</t>
  </si>
  <si>
    <t>DTPLTI2425-307</t>
  </si>
  <si>
    <t>DTPLTI2425-306</t>
  </si>
  <si>
    <t>DTPLTI2425-313</t>
  </si>
  <si>
    <t>DTPLTI2223-393</t>
  </si>
  <si>
    <t>DTPLTI2223-468</t>
  </si>
  <si>
    <t>DTPLTI2324-362</t>
  </si>
  <si>
    <t>DTPLTI2425-116</t>
  </si>
  <si>
    <t>DTPLTI2324-224</t>
  </si>
  <si>
    <t>DTPLTI2324-262</t>
  </si>
  <si>
    <t>DTPLTI2324-332</t>
  </si>
  <si>
    <t>DTPLTI2425-045</t>
  </si>
  <si>
    <t>DTPLTI2223-483</t>
  </si>
  <si>
    <t>DTPLTI2223-475</t>
  </si>
  <si>
    <t>DTPLTI2223-476</t>
  </si>
  <si>
    <t>DTPLGSI/1819/171</t>
  </si>
  <si>
    <t>DTPLTI2122-134</t>
  </si>
  <si>
    <t>DTPLSER/1920/215</t>
  </si>
  <si>
    <t>DTPLTAX/1920/62C</t>
  </si>
  <si>
    <t>DTPLTI2324-149</t>
  </si>
  <si>
    <t>DTPLTI2425-270</t>
  </si>
  <si>
    <t>DTPLTI2425-263</t>
  </si>
  <si>
    <t>DTPLTI2425-262</t>
  </si>
  <si>
    <t>DTPLTI2122-390</t>
  </si>
  <si>
    <t>DTPLTI2425-201</t>
  </si>
  <si>
    <t>DTPLTI2324-168</t>
  </si>
  <si>
    <t>DTPLTI2324-169</t>
  </si>
  <si>
    <t>DTPLTI2324-223</t>
  </si>
  <si>
    <t>DTPLTI2425-227</t>
  </si>
  <si>
    <t>DTPLTI2223-410</t>
  </si>
  <si>
    <t>DTPLTI2223-467</t>
  </si>
  <si>
    <t>DTPLTI2324-167</t>
  </si>
  <si>
    <t>DTPLTI2425-273</t>
  </si>
  <si>
    <t>DTPLTI2425-324</t>
  </si>
  <si>
    <t>DTPLTI2223-240</t>
  </si>
  <si>
    <t>DTPLTI2425-269</t>
  </si>
  <si>
    <t>DTPLSER/1920/241</t>
  </si>
  <si>
    <t>DTPLSER/1920/242</t>
  </si>
  <si>
    <t>DTPLTAX/1920/207</t>
  </si>
  <si>
    <t>DTPLTAX/1920/208</t>
  </si>
  <si>
    <t>ABHI SOLUTION</t>
  </si>
  <si>
    <t>ABS/24-25/309</t>
  </si>
  <si>
    <t>ABS/24-25/300</t>
  </si>
  <si>
    <t>ABS/24-25/293</t>
  </si>
  <si>
    <t>ABS/24-25/292</t>
  </si>
  <si>
    <t>ABS/24-25/288</t>
  </si>
  <si>
    <t>ABS/24-25/274</t>
  </si>
  <si>
    <t>ABS/24-25/267</t>
  </si>
  <si>
    <t>ABS/24-25/257</t>
  </si>
  <si>
    <t>ABS/24-25/249</t>
  </si>
  <si>
    <t>ABS/24-25/250</t>
  </si>
  <si>
    <t>ABS/24-25/231</t>
  </si>
  <si>
    <t>ABS/24-25/230</t>
  </si>
  <si>
    <t>ABS/24-25/209</t>
  </si>
  <si>
    <t>ABS/24-25/204</t>
  </si>
  <si>
    <t>ABS/24-25/205</t>
  </si>
  <si>
    <t>ABS/24-25/201</t>
  </si>
  <si>
    <t>ABS/24-25/198</t>
  </si>
  <si>
    <t>ABS/24-25/124</t>
  </si>
  <si>
    <t>ABS/24-25/130</t>
  </si>
  <si>
    <t>ABS/24-25/159</t>
  </si>
  <si>
    <t>ABS/24-25/160</t>
  </si>
  <si>
    <t>ABS/24-25/193</t>
  </si>
  <si>
    <t>ABS/24-25/197</t>
  </si>
  <si>
    <t>ACCURATE ROADLINES (P) LTD</t>
  </si>
  <si>
    <t>ZKR-1808</t>
  </si>
  <si>
    <t>310-10-2024</t>
  </si>
  <si>
    <t>ZKR-1838</t>
  </si>
  <si>
    <t>20-02-2025</t>
  </si>
  <si>
    <t>ZKR1879</t>
  </si>
  <si>
    <t>31-03-2025</t>
  </si>
  <si>
    <t>02</t>
  </si>
  <si>
    <t>11-03-2025</t>
  </si>
  <si>
    <t>ARCHIT POWER SERVICES</t>
  </si>
  <si>
    <t>GST/3318/24-25</t>
  </si>
  <si>
    <t>ARIHANT ELECTRONICS</t>
  </si>
  <si>
    <t>2024-25/2545</t>
  </si>
  <si>
    <t>ATOS GLOBAL LLP ( MAHARASHTRA )</t>
  </si>
  <si>
    <t>TI/24-25/83219</t>
  </si>
  <si>
    <t>TI/24-25/83218</t>
  </si>
  <si>
    <t>BALAJI ELECTRICAL &amp; SERVICES</t>
  </si>
  <si>
    <t>16</t>
  </si>
  <si>
    <t>BUDDHA INTERNATIONAL</t>
  </si>
  <si>
    <t>BID0021</t>
  </si>
  <si>
    <t>CAVITAK MARKETING PVT.LTD</t>
  </si>
  <si>
    <t>225435293</t>
  </si>
  <si>
    <t>225323044</t>
  </si>
  <si>
    <t>COMPUTER JUNCTION PVT.LTD</t>
  </si>
  <si>
    <t>DLTI-24-25-04963</t>
  </si>
  <si>
    <t>DLTI-24-25-04961</t>
  </si>
  <si>
    <t>DLTI-24-25-04960</t>
  </si>
  <si>
    <t>DLTI-24-25-04968</t>
  </si>
  <si>
    <t>DLTI-24-25-04965</t>
  </si>
  <si>
    <t>DLTI-24-25-04958</t>
  </si>
  <si>
    <t>DLTI-24-25-04947</t>
  </si>
  <si>
    <t>DLTI-24-25-04955</t>
  </si>
  <si>
    <t>DLTI-24-25-05947</t>
  </si>
  <si>
    <t>CCPL/0516/2425</t>
  </si>
  <si>
    <t>CCPL/0653/2425</t>
  </si>
  <si>
    <t>CCPL/0736/2425</t>
  </si>
  <si>
    <t>CCPL/0766/2425</t>
  </si>
  <si>
    <t>CCPL/0897/2425</t>
  </si>
  <si>
    <t>CCPL/0894/2425</t>
  </si>
  <si>
    <t>CCPL/0896/2425</t>
  </si>
  <si>
    <t>CCPL/1001/2425</t>
  </si>
  <si>
    <t>CCPL/1009/2425</t>
  </si>
  <si>
    <t>CCPL/1039/2425</t>
  </si>
  <si>
    <t>CCPL/1038/2425</t>
  </si>
  <si>
    <t>ENREP BUSINESS SOLUTIONS LLP</t>
  </si>
  <si>
    <t>EBS/24-25/009</t>
  </si>
  <si>
    <t>EBS/24-25/013</t>
  </si>
  <si>
    <t>GAGAN PRINT &amp; PACKAGING</t>
  </si>
  <si>
    <t>150</t>
  </si>
  <si>
    <t>GAURAV &amp; DISHA ASSOCIATES</t>
  </si>
  <si>
    <t>83</t>
  </si>
  <si>
    <t>85</t>
  </si>
  <si>
    <t>91</t>
  </si>
  <si>
    <t>107</t>
  </si>
  <si>
    <t>VD0924101688</t>
  </si>
  <si>
    <t>VD0924101689</t>
  </si>
  <si>
    <t>A22/2425/5227</t>
  </si>
  <si>
    <t>A22/2425/7777</t>
  </si>
  <si>
    <t>5210076061</t>
  </si>
  <si>
    <t>15</t>
  </si>
  <si>
    <t>187</t>
  </si>
  <si>
    <t>246</t>
  </si>
  <si>
    <t>296</t>
  </si>
  <si>
    <t>HTS/24-25/739</t>
  </si>
  <si>
    <t>56/2023-24</t>
  </si>
  <si>
    <t>DL/ICPL/2425/069</t>
  </si>
  <si>
    <t>HR/ICPL/2425/023</t>
  </si>
  <si>
    <t>SLRSI3275748</t>
  </si>
  <si>
    <t>332433413</t>
  </si>
  <si>
    <t>N101-30-2407-491</t>
  </si>
  <si>
    <t>N101-30-2503-305</t>
  </si>
  <si>
    <t>N101-30-2503-681</t>
  </si>
  <si>
    <t>INV-1201</t>
  </si>
  <si>
    <t>24-25/1087</t>
  </si>
  <si>
    <t>JP/SR-N-24-25/035</t>
  </si>
  <si>
    <t>2024-2025/4600</t>
  </si>
  <si>
    <t>2024-2025/5041</t>
  </si>
  <si>
    <t>FR/1142</t>
  </si>
  <si>
    <t>89</t>
  </si>
  <si>
    <t>32</t>
  </si>
  <si>
    <t>48</t>
  </si>
  <si>
    <t>49</t>
  </si>
  <si>
    <t>95</t>
  </si>
  <si>
    <t>114</t>
  </si>
  <si>
    <t>149</t>
  </si>
  <si>
    <t>151</t>
  </si>
  <si>
    <t>MGE/24-25/2045</t>
  </si>
  <si>
    <t>DEB-1166/24</t>
  </si>
  <si>
    <t>DEB-1302/24</t>
  </si>
  <si>
    <t>DEB-1485/24</t>
  </si>
  <si>
    <t>DEB-1592/24</t>
  </si>
  <si>
    <t>DEB-1713/24</t>
  </si>
  <si>
    <t>DL/2024-25/0979</t>
  </si>
  <si>
    <t>DL/2024-25/0994</t>
  </si>
  <si>
    <t>DL/2024-25/1112</t>
  </si>
  <si>
    <t>DL/2024-25/1125</t>
  </si>
  <si>
    <t>DL/2024-25/1178</t>
  </si>
  <si>
    <t>DL/2024-25/1207</t>
  </si>
  <si>
    <t>DL/2024-25/1225</t>
  </si>
  <si>
    <t>DTPL/2016-2017/PO/233</t>
  </si>
  <si>
    <t>DTPL/2018-2019/GPO/316</t>
  </si>
  <si>
    <t>GST-TI-447/21-22</t>
  </si>
  <si>
    <t>GST-TI-53/22-23</t>
  </si>
  <si>
    <t>GST-TI-270/22-23</t>
  </si>
  <si>
    <t>GST-TI-284/24-25</t>
  </si>
  <si>
    <t>OCSPL2425G03156</t>
  </si>
  <si>
    <t>OCSPL2425G03157</t>
  </si>
  <si>
    <t>OCSPL2425G03483</t>
  </si>
  <si>
    <t>OCSPL2425G03484</t>
  </si>
  <si>
    <t>OCSPL2425G03707</t>
  </si>
  <si>
    <t>OCSPL2425G03708</t>
  </si>
  <si>
    <t>OMCL2425-001</t>
  </si>
  <si>
    <t>PC/24-25/2964</t>
  </si>
  <si>
    <t>PC/24-25/3081</t>
  </si>
  <si>
    <t>PC/24-25/3304</t>
  </si>
  <si>
    <t>PC/24-25/3387</t>
  </si>
  <si>
    <t>PC/24-25/3408</t>
  </si>
  <si>
    <t>PC/24-25/3409</t>
  </si>
  <si>
    <t>PC/24-25/3543</t>
  </si>
  <si>
    <t>PC/24-25/3584</t>
  </si>
  <si>
    <t>PC/24-25/3610</t>
  </si>
  <si>
    <t>PC/24-25/3621</t>
  </si>
  <si>
    <t>536</t>
  </si>
  <si>
    <t>QLO/2425/5722</t>
  </si>
  <si>
    <t>24000721</t>
  </si>
  <si>
    <t>24001019</t>
  </si>
  <si>
    <t>RP00055FEB25I</t>
  </si>
  <si>
    <t>008</t>
  </si>
  <si>
    <t>RNT/00201/22-23</t>
  </si>
  <si>
    <t>RNT/0062/23-24</t>
  </si>
  <si>
    <t>RNT/0069/24-25</t>
  </si>
  <si>
    <t>RNT/00104/24-25</t>
  </si>
  <si>
    <t>RPIT/2024-25/498</t>
  </si>
  <si>
    <t>RPIT/2024-25/530</t>
  </si>
  <si>
    <t>RPIT/2024-25/580</t>
  </si>
  <si>
    <t>RPIT/2024-25/610</t>
  </si>
  <si>
    <t>RECS/24-25/550</t>
  </si>
  <si>
    <t>505</t>
  </si>
  <si>
    <t>199</t>
  </si>
  <si>
    <t>213</t>
  </si>
  <si>
    <t>215</t>
  </si>
  <si>
    <t>222</t>
  </si>
  <si>
    <t>235</t>
  </si>
  <si>
    <t>239</t>
  </si>
  <si>
    <t>SI/24-25/00288</t>
  </si>
  <si>
    <t>SI/24-25/00292</t>
  </si>
  <si>
    <t>SI/24-25/00305</t>
  </si>
  <si>
    <t>SI/24-25/00303</t>
  </si>
  <si>
    <t>SI/24-25/00304</t>
  </si>
  <si>
    <t>SI/24-25/00331</t>
  </si>
  <si>
    <t>SI/24-25/00332</t>
  </si>
  <si>
    <t>SI/24-25/00335</t>
  </si>
  <si>
    <t>SI/24-25/00338</t>
  </si>
  <si>
    <t>SI/24-25/00339</t>
  </si>
  <si>
    <t>SI/24-25/00340</t>
  </si>
  <si>
    <t>SI/24-25/00355</t>
  </si>
  <si>
    <t>2024-25/1771</t>
  </si>
  <si>
    <t>1496</t>
  </si>
  <si>
    <t>CAM/PSL/01</t>
  </si>
  <si>
    <t>ITIBAG0124117980</t>
  </si>
  <si>
    <t>ITIBAG0124118480</t>
  </si>
  <si>
    <t>ITIBAG0124125011</t>
  </si>
  <si>
    <t>ITIBAG0124127831</t>
  </si>
  <si>
    <t>SGS/24-25/0968</t>
  </si>
  <si>
    <t>SGS/24-25/1044</t>
  </si>
  <si>
    <t>SBE/G/24-25/241</t>
  </si>
  <si>
    <t>SME2425025</t>
  </si>
  <si>
    <t>SME2425029</t>
  </si>
  <si>
    <t>SME2425030</t>
  </si>
  <si>
    <t>SVIC/24-25/387</t>
  </si>
  <si>
    <t>SVIC/24-25/403</t>
  </si>
  <si>
    <t>SVIC/24-25/408</t>
  </si>
  <si>
    <t>SVIC/24-25/409</t>
  </si>
  <si>
    <t>SVIC/24-25/431</t>
  </si>
  <si>
    <t>SVIC/24-25/438</t>
  </si>
  <si>
    <t>23-24/SS016</t>
  </si>
  <si>
    <t>1</t>
  </si>
  <si>
    <t>SLT/24-25/76</t>
  </si>
  <si>
    <t>SLT/22-23/4</t>
  </si>
  <si>
    <t>SLT/21-22/2</t>
  </si>
  <si>
    <t>SPS/2024-25/94</t>
  </si>
  <si>
    <t>SPS/2024-25/96</t>
  </si>
  <si>
    <t>SPS/2024-25/104</t>
  </si>
  <si>
    <t>4323</t>
  </si>
  <si>
    <t>4324</t>
  </si>
  <si>
    <t>4402</t>
  </si>
  <si>
    <t>4403</t>
  </si>
  <si>
    <t>TI/STS/24-25/2698</t>
  </si>
  <si>
    <t>TI/STS/24-25/2755</t>
  </si>
  <si>
    <t>3233</t>
  </si>
  <si>
    <t>TSIDEL/1467/2425</t>
  </si>
  <si>
    <t>TEJ/DEL/0091</t>
  </si>
  <si>
    <t>TEJ/DEL/0102</t>
  </si>
  <si>
    <t>TEJ/DEL/0109</t>
  </si>
  <si>
    <t>TEJ/DEL/0124</t>
  </si>
  <si>
    <t>TEJ/DEL/0139</t>
  </si>
  <si>
    <t>TEJ/DEL/0149</t>
  </si>
  <si>
    <t>TEJ/DEL/0165</t>
  </si>
  <si>
    <t>TEJ/DEL/0174</t>
  </si>
  <si>
    <t>TEJ/DEL/0185</t>
  </si>
  <si>
    <t>TEJ/DEL/0200</t>
  </si>
  <si>
    <t>897</t>
  </si>
  <si>
    <t>TCDELINV17180103</t>
  </si>
  <si>
    <t>TCDELINV20181930</t>
  </si>
  <si>
    <t>DTPL/2018-2019/GPO/264</t>
  </si>
  <si>
    <t>TCDELINV20242567</t>
  </si>
  <si>
    <t>TCDELINV20242565</t>
  </si>
  <si>
    <t>DEL2019200000101</t>
  </si>
  <si>
    <t>DEL20212220000087</t>
  </si>
  <si>
    <t>DEL20212220000153</t>
  </si>
  <si>
    <t>DEL2022230000010</t>
  </si>
  <si>
    <t>DEL2023240000234</t>
  </si>
  <si>
    <t>TTPL/GST/23-24/16</t>
  </si>
  <si>
    <t>UNI/9732/24-25</t>
  </si>
  <si>
    <t>UNI/10067/24-25</t>
  </si>
  <si>
    <t>UNI/10519/24-25</t>
  </si>
  <si>
    <t>UNI/11623/24-25</t>
  </si>
  <si>
    <t>VAV/2024-25/1252</t>
  </si>
  <si>
    <t>VAV/2024-25/1291</t>
  </si>
  <si>
    <t>VAV/2024-25/1330</t>
  </si>
  <si>
    <t>VAV/2024-25/1340</t>
  </si>
  <si>
    <t>VTPL/TI/2122/065</t>
  </si>
  <si>
    <t>VTPL/TI/2122/074</t>
  </si>
  <si>
    <t>VTPL/TI/2122/095</t>
  </si>
  <si>
    <t>VTPL/TI/2223/069</t>
  </si>
  <si>
    <t>VTPL/TI/2425/007</t>
  </si>
  <si>
    <t>VTR/2024/726</t>
  </si>
  <si>
    <t>VTR/2024/725</t>
  </si>
  <si>
    <t>WGS/24-25/0456</t>
  </si>
  <si>
    <t>WGS/24-25/0531</t>
  </si>
  <si>
    <t>YCP/24-25/1102</t>
  </si>
  <si>
    <t>YCP/24-25/1213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</si>
</sst>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7">
    <font>
      <sz val="11"/>
      <name val="Calibri"/>
    </font>
    <font>
      <sz val="11"/>
      <color theme="1"/>
      <name val="Calibri"/>
      <family val="2"/>
      <scheme val="minor"/>
    </font>
    <font>
      <b/>
      <i/>
      <sz val="12"/>
      <name val="Calibri"/>
    </font>
    <font>
      <sz val="9"/>
      <color theme="1"/>
      <name val="Arial"/>
      <family val="2"/>
    </font>
    <font>
      <sz val="10"/>
      <color rgb="FF212529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top"/>
    </xf>
    <xf numFmtId="1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4" fontId="3" fillId="0" borderId="0" xfId="0" applyNumberFormat="1" applyFont="1" applyAlignment="1">
      <alignment vertical="top"/>
    </xf>
    <xf numFmtId="0" fontId="0" fillId="0" borderId="0" xfId="0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Alignment="1"/>
    <xf numFmtId="49" fontId="6" fillId="0" borderId="0" xfId="1" applyNumberFormat="1" applyFont="1" applyAlignment="1">
      <alignment horizontal="left" vertical="top"/>
    </xf>
    <xf numFmtId="15" fontId="6" fillId="0" borderId="0" xfId="1" applyNumberFormat="1" applyFont="1" applyAlignment="1">
      <alignment horizontal="right" vertical="top"/>
    </xf>
    <xf numFmtId="49" fontId="6" fillId="0" borderId="0" xfId="1" applyNumberFormat="1" applyFont="1" applyFill="1" applyAlignment="1">
      <alignment horizontal="left" vertical="top"/>
    </xf>
    <xf numFmtId="14" fontId="6" fillId="0" borderId="0" xfId="1" applyNumberFormat="1" applyFont="1" applyAlignment="1">
      <alignment horizontal="right" vertical="top"/>
    </xf>
    <xf numFmtId="0" fontId="2" fillId="0" borderId="0" xfId="0" applyFont="1" applyFill="1"/>
    <xf numFmtId="0" fontId="0" fillId="0" borderId="0" xfId="0" applyFill="1"/>
    <xf numFmtId="2" fontId="0" fillId="0" borderId="0" xfId="0" applyNumberFormat="1" applyFill="1"/>
    <xf numFmtId="2" fontId="0" fillId="3" borderId="0" xfId="0" applyNumberFormat="1" applyFill="1"/>
    <xf numFmtId="164" fontId="3" fillId="3" borderId="0" xfId="0" applyNumberFormat="1" applyFont="1" applyFill="1" applyAlignment="1">
      <alignment horizontal="right" vertical="top"/>
    </xf>
    <xf numFmtId="2" fontId="6" fillId="3" borderId="0" xfId="1" applyNumberFormat="1" applyFont="1" applyFill="1" applyAlignment="1">
      <alignment horizontal="right" vertical="top"/>
    </xf>
    <xf numFmtId="2" fontId="3" fillId="0" borderId="0" xfId="0" applyNumberFormat="1" applyFont="1" applyFill="1" applyAlignment="1">
      <alignment horizontal="right" vertical="top"/>
    </xf>
    <xf numFmtId="164" fontId="3" fillId="0" borderId="0" xfId="0" applyNumberFormat="1" applyFont="1" applyFill="1" applyAlignment="1">
      <alignment horizontal="righ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92"/>
  <sheetViews>
    <sheetView workbookViewId="0">
      <selection activeCell="D1" sqref="D1"/>
    </sheetView>
  </sheetViews>
  <sheetFormatPr defaultRowHeight="15"/>
  <cols>
    <col min="1" max="1" width="13.7109375" customWidth="1"/>
    <col min="2" max="2" width="53.42578125" customWidth="1"/>
    <col min="3" max="3" width="9.7109375" customWidth="1"/>
    <col min="4" max="4" width="16.7109375" style="19" customWidth="1"/>
    <col min="5" max="5" width="13.5703125" customWidth="1"/>
    <col min="6" max="6" width="16.140625" customWidth="1"/>
    <col min="8" max="8" width="12.5703125" bestFit="1" customWidth="1"/>
    <col min="9" max="9" width="12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5</v>
      </c>
    </row>
    <row r="2" spans="1:6" hidden="1">
      <c r="A2" t="s">
        <v>6</v>
      </c>
      <c r="B2" t="s">
        <v>7</v>
      </c>
      <c r="C2" t="s">
        <v>8</v>
      </c>
      <c r="D2"/>
    </row>
    <row r="3" spans="1:6" hidden="1">
      <c r="A3" t="s">
        <v>6</v>
      </c>
      <c r="B3" t="s">
        <v>9</v>
      </c>
      <c r="C3" t="s">
        <v>8</v>
      </c>
      <c r="D3"/>
    </row>
    <row r="4" spans="1:6" hidden="1">
      <c r="A4" t="s">
        <v>6</v>
      </c>
      <c r="B4" t="s">
        <v>10</v>
      </c>
      <c r="C4" t="s">
        <v>8</v>
      </c>
      <c r="D4"/>
    </row>
    <row r="5" spans="1:6" hidden="1">
      <c r="A5" t="s">
        <v>6</v>
      </c>
      <c r="B5" t="s">
        <v>11</v>
      </c>
      <c r="C5" t="s">
        <v>8</v>
      </c>
      <c r="D5"/>
    </row>
    <row r="6" spans="1:6" hidden="1">
      <c r="A6" t="s">
        <v>6</v>
      </c>
      <c r="B6" t="s">
        <v>12</v>
      </c>
      <c r="C6" t="s">
        <v>8</v>
      </c>
      <c r="D6"/>
    </row>
    <row r="7" spans="1:6" hidden="1">
      <c r="A7" t="s">
        <v>13</v>
      </c>
      <c r="B7" t="s">
        <v>14</v>
      </c>
      <c r="C7" t="s">
        <v>8</v>
      </c>
      <c r="D7"/>
    </row>
    <row r="8" spans="1:6" hidden="1">
      <c r="A8" t="s">
        <v>15</v>
      </c>
      <c r="B8" t="s">
        <v>16</v>
      </c>
      <c r="C8" t="s">
        <v>8</v>
      </c>
    </row>
    <row r="9" spans="1:6" hidden="1">
      <c r="A9" t="s">
        <v>15</v>
      </c>
      <c r="B9" t="s">
        <v>17</v>
      </c>
      <c r="C9" t="s">
        <v>8</v>
      </c>
    </row>
    <row r="10" spans="1:6">
      <c r="A10" t="s">
        <v>15</v>
      </c>
      <c r="B10" t="s">
        <v>18</v>
      </c>
      <c r="C10" t="s">
        <v>8</v>
      </c>
      <c r="D10" s="20">
        <v>527305</v>
      </c>
      <c r="E10" t="s">
        <v>19</v>
      </c>
    </row>
    <row r="11" spans="1:6">
      <c r="A11" t="s">
        <v>15</v>
      </c>
      <c r="B11" t="s">
        <v>20</v>
      </c>
      <c r="C11" t="s">
        <v>8</v>
      </c>
      <c r="D11" s="20">
        <v>126388.1</v>
      </c>
      <c r="E11" t="s">
        <v>19</v>
      </c>
    </row>
    <row r="12" spans="1:6">
      <c r="A12" t="s">
        <v>15</v>
      </c>
      <c r="B12" t="s">
        <v>21</v>
      </c>
      <c r="C12" t="s">
        <v>8</v>
      </c>
      <c r="D12" s="20">
        <v>1401414.45</v>
      </c>
      <c r="E12" t="s">
        <v>19</v>
      </c>
    </row>
    <row r="13" spans="1:6" hidden="1">
      <c r="A13" t="s">
        <v>15</v>
      </c>
      <c r="B13" t="s">
        <v>22</v>
      </c>
      <c r="C13" t="s">
        <v>8</v>
      </c>
    </row>
    <row r="14" spans="1:6" hidden="1">
      <c r="A14" t="s">
        <v>15</v>
      </c>
      <c r="B14" t="s">
        <v>23</v>
      </c>
      <c r="C14" t="s">
        <v>8</v>
      </c>
    </row>
    <row r="15" spans="1:6">
      <c r="A15" t="s">
        <v>15</v>
      </c>
      <c r="B15" t="s">
        <v>24</v>
      </c>
      <c r="C15" t="s">
        <v>8</v>
      </c>
      <c r="D15" s="20">
        <v>196495</v>
      </c>
      <c r="E15" t="s">
        <v>25</v>
      </c>
    </row>
    <row r="16" spans="1:6" hidden="1">
      <c r="A16" t="s">
        <v>15</v>
      </c>
      <c r="B16" t="s">
        <v>26</v>
      </c>
      <c r="C16" t="s">
        <v>8</v>
      </c>
    </row>
    <row r="17" spans="1:5" hidden="1">
      <c r="A17" t="s">
        <v>15</v>
      </c>
      <c r="B17" t="s">
        <v>27</v>
      </c>
      <c r="C17" t="s">
        <v>8</v>
      </c>
    </row>
    <row r="18" spans="1:5" hidden="1">
      <c r="A18" t="s">
        <v>15</v>
      </c>
      <c r="B18" t="s">
        <v>28</v>
      </c>
      <c r="C18" t="s">
        <v>8</v>
      </c>
    </row>
    <row r="19" spans="1:5" hidden="1">
      <c r="A19" t="s">
        <v>15</v>
      </c>
      <c r="B19" t="s">
        <v>29</v>
      </c>
      <c r="C19" t="s">
        <v>8</v>
      </c>
    </row>
    <row r="20" spans="1:5" hidden="1">
      <c r="A20" t="s">
        <v>15</v>
      </c>
      <c r="B20" t="s">
        <v>30</v>
      </c>
      <c r="C20" t="s">
        <v>8</v>
      </c>
    </row>
    <row r="21" spans="1:5">
      <c r="A21" t="s">
        <v>15</v>
      </c>
      <c r="B21" t="s">
        <v>31</v>
      </c>
      <c r="C21" t="s">
        <v>8</v>
      </c>
      <c r="D21" s="20">
        <v>2019624.68</v>
      </c>
      <c r="E21" t="s">
        <v>19</v>
      </c>
    </row>
    <row r="22" spans="1:5">
      <c r="A22" t="s">
        <v>15</v>
      </c>
      <c r="B22" t="s">
        <v>32</v>
      </c>
      <c r="C22" t="s">
        <v>8</v>
      </c>
      <c r="D22" s="20">
        <v>35672.92</v>
      </c>
      <c r="E22" t="s">
        <v>25</v>
      </c>
    </row>
    <row r="23" spans="1:5">
      <c r="A23" t="s">
        <v>15</v>
      </c>
      <c r="B23" t="s">
        <v>33</v>
      </c>
      <c r="C23" t="s">
        <v>8</v>
      </c>
      <c r="D23" s="20">
        <v>2901160.78</v>
      </c>
      <c r="E23" t="s">
        <v>19</v>
      </c>
    </row>
    <row r="24" spans="1:5">
      <c r="A24" t="s">
        <v>15</v>
      </c>
      <c r="B24" t="s">
        <v>34</v>
      </c>
      <c r="C24" t="s">
        <v>8</v>
      </c>
      <c r="D24" s="20">
        <v>157665.89000000001</v>
      </c>
      <c r="E24" t="s">
        <v>19</v>
      </c>
    </row>
    <row r="25" spans="1:5">
      <c r="A25" t="s">
        <v>15</v>
      </c>
      <c r="B25" t="s">
        <v>35</v>
      </c>
      <c r="C25" t="s">
        <v>8</v>
      </c>
      <c r="D25" s="20">
        <v>692695</v>
      </c>
      <c r="E25" t="s">
        <v>19</v>
      </c>
    </row>
    <row r="26" spans="1:5">
      <c r="A26" t="s">
        <v>15</v>
      </c>
      <c r="B26" t="s">
        <v>36</v>
      </c>
      <c r="C26" t="s">
        <v>8</v>
      </c>
      <c r="D26" s="20">
        <v>1770</v>
      </c>
      <c r="E26" t="s">
        <v>19</v>
      </c>
    </row>
    <row r="27" spans="1:5">
      <c r="A27" t="s">
        <v>15</v>
      </c>
      <c r="B27" t="s">
        <v>37</v>
      </c>
      <c r="C27" t="s">
        <v>8</v>
      </c>
      <c r="D27" s="20">
        <v>509551</v>
      </c>
      <c r="E27" t="s">
        <v>19</v>
      </c>
    </row>
    <row r="28" spans="1:5">
      <c r="A28" t="s">
        <v>15</v>
      </c>
      <c r="B28" t="s">
        <v>38</v>
      </c>
      <c r="C28" t="s">
        <v>8</v>
      </c>
      <c r="D28" s="20">
        <v>14769.6</v>
      </c>
      <c r="E28" t="s">
        <v>25</v>
      </c>
    </row>
    <row r="29" spans="1:5" hidden="1">
      <c r="A29" t="s">
        <v>15</v>
      </c>
      <c r="B29" t="s">
        <v>39</v>
      </c>
      <c r="C29" t="s">
        <v>8</v>
      </c>
    </row>
    <row r="30" spans="1:5" hidden="1">
      <c r="A30" t="s">
        <v>15</v>
      </c>
      <c r="B30" t="s">
        <v>40</v>
      </c>
      <c r="C30" t="s">
        <v>8</v>
      </c>
    </row>
    <row r="31" spans="1:5" hidden="1">
      <c r="A31" t="s">
        <v>15</v>
      </c>
      <c r="B31" t="s">
        <v>41</v>
      </c>
      <c r="C31" t="s">
        <v>8</v>
      </c>
    </row>
    <row r="32" spans="1:5">
      <c r="A32" t="s">
        <v>15</v>
      </c>
      <c r="B32" t="s">
        <v>42</v>
      </c>
      <c r="C32" t="s">
        <v>8</v>
      </c>
      <c r="D32" s="20">
        <v>277300</v>
      </c>
      <c r="E32" t="s">
        <v>19</v>
      </c>
    </row>
    <row r="33" spans="1:5" hidden="1">
      <c r="A33" t="s">
        <v>15</v>
      </c>
      <c r="B33" t="s">
        <v>43</v>
      </c>
      <c r="C33" t="s">
        <v>8</v>
      </c>
    </row>
    <row r="34" spans="1:5">
      <c r="A34" t="s">
        <v>15</v>
      </c>
      <c r="B34" t="s">
        <v>44</v>
      </c>
      <c r="C34" t="s">
        <v>8</v>
      </c>
      <c r="D34" s="20">
        <v>59531</v>
      </c>
      <c r="E34" t="s">
        <v>19</v>
      </c>
    </row>
    <row r="35" spans="1:5">
      <c r="A35" t="s">
        <v>15</v>
      </c>
      <c r="B35" t="s">
        <v>45</v>
      </c>
      <c r="C35" t="s">
        <v>8</v>
      </c>
      <c r="D35" s="20">
        <v>58069</v>
      </c>
      <c r="E35" t="s">
        <v>19</v>
      </c>
    </row>
    <row r="36" spans="1:5" hidden="1">
      <c r="A36" t="s">
        <v>15</v>
      </c>
      <c r="B36" t="s">
        <v>46</v>
      </c>
      <c r="C36" t="s">
        <v>8</v>
      </c>
    </row>
    <row r="37" spans="1:5" hidden="1">
      <c r="A37" t="s">
        <v>15</v>
      </c>
      <c r="B37" t="s">
        <v>47</v>
      </c>
      <c r="C37" t="s">
        <v>8</v>
      </c>
    </row>
    <row r="38" spans="1:5" hidden="1">
      <c r="A38" t="s">
        <v>15</v>
      </c>
      <c r="B38" t="s">
        <v>48</v>
      </c>
      <c r="C38" t="s">
        <v>8</v>
      </c>
    </row>
    <row r="39" spans="1:5" hidden="1">
      <c r="A39" t="s">
        <v>15</v>
      </c>
      <c r="B39" t="s">
        <v>49</v>
      </c>
      <c r="C39" t="s">
        <v>8</v>
      </c>
    </row>
    <row r="40" spans="1:5" hidden="1">
      <c r="A40" t="s">
        <v>15</v>
      </c>
      <c r="B40" t="s">
        <v>50</v>
      </c>
      <c r="C40" t="s">
        <v>8</v>
      </c>
    </row>
    <row r="41" spans="1:5" hidden="1">
      <c r="A41" t="s">
        <v>15</v>
      </c>
      <c r="B41" t="s">
        <v>51</v>
      </c>
      <c r="C41" t="s">
        <v>8</v>
      </c>
    </row>
    <row r="42" spans="1:5" hidden="1">
      <c r="A42" t="s">
        <v>15</v>
      </c>
      <c r="B42" t="s">
        <v>52</v>
      </c>
      <c r="C42" t="s">
        <v>8</v>
      </c>
    </row>
    <row r="43" spans="1:5" hidden="1">
      <c r="A43" t="s">
        <v>15</v>
      </c>
      <c r="B43" t="s">
        <v>53</v>
      </c>
      <c r="C43" t="s">
        <v>8</v>
      </c>
    </row>
    <row r="44" spans="1:5" hidden="1">
      <c r="A44" t="s">
        <v>15</v>
      </c>
      <c r="B44" t="s">
        <v>54</v>
      </c>
      <c r="C44" t="s">
        <v>8</v>
      </c>
    </row>
    <row r="45" spans="1:5" hidden="1">
      <c r="A45" t="s">
        <v>15</v>
      </c>
      <c r="B45" t="s">
        <v>55</v>
      </c>
      <c r="C45" t="s">
        <v>8</v>
      </c>
    </row>
    <row r="46" spans="1:5" hidden="1">
      <c r="A46" t="s">
        <v>15</v>
      </c>
      <c r="B46" t="s">
        <v>56</v>
      </c>
      <c r="C46" t="s">
        <v>8</v>
      </c>
    </row>
    <row r="47" spans="1:5" hidden="1">
      <c r="A47" t="s">
        <v>15</v>
      </c>
      <c r="B47" t="s">
        <v>57</v>
      </c>
      <c r="C47" t="s">
        <v>8</v>
      </c>
    </row>
    <row r="48" spans="1:5">
      <c r="A48" t="s">
        <v>15</v>
      </c>
      <c r="B48" t="s">
        <v>58</v>
      </c>
      <c r="C48" t="s">
        <v>8</v>
      </c>
      <c r="D48" s="20">
        <v>22382888</v>
      </c>
      <c r="E48" t="s">
        <v>25</v>
      </c>
    </row>
    <row r="49" spans="1:5" hidden="1">
      <c r="A49" t="s">
        <v>15</v>
      </c>
      <c r="B49" t="s">
        <v>59</v>
      </c>
      <c r="C49" t="s">
        <v>8</v>
      </c>
    </row>
    <row r="50" spans="1:5" hidden="1">
      <c r="A50" t="s">
        <v>15</v>
      </c>
      <c r="B50" t="s">
        <v>60</v>
      </c>
      <c r="C50" t="s">
        <v>8</v>
      </c>
    </row>
    <row r="51" spans="1:5" hidden="1">
      <c r="A51" t="s">
        <v>15</v>
      </c>
      <c r="B51" t="s">
        <v>61</v>
      </c>
      <c r="C51" t="s">
        <v>8</v>
      </c>
    </row>
    <row r="52" spans="1:5">
      <c r="A52" t="s">
        <v>15</v>
      </c>
      <c r="B52" t="s">
        <v>62</v>
      </c>
      <c r="C52" t="s">
        <v>8</v>
      </c>
      <c r="D52" s="20">
        <v>1186572</v>
      </c>
      <c r="E52" t="s">
        <v>19</v>
      </c>
    </row>
    <row r="53" spans="1:5" hidden="1">
      <c r="A53" t="s">
        <v>15</v>
      </c>
      <c r="B53" t="s">
        <v>63</v>
      </c>
      <c r="C53" t="s">
        <v>8</v>
      </c>
    </row>
    <row r="54" spans="1:5">
      <c r="A54" t="s">
        <v>15</v>
      </c>
      <c r="B54" t="s">
        <v>64</v>
      </c>
      <c r="C54" t="s">
        <v>8</v>
      </c>
      <c r="D54" s="20">
        <v>454332.05</v>
      </c>
      <c r="E54" t="s">
        <v>19</v>
      </c>
    </row>
    <row r="55" spans="1:5">
      <c r="A55" t="s">
        <v>15</v>
      </c>
      <c r="B55" t="s">
        <v>65</v>
      </c>
      <c r="C55" t="s">
        <v>8</v>
      </c>
      <c r="D55" s="20">
        <v>53981</v>
      </c>
      <c r="E55" t="s">
        <v>25</v>
      </c>
    </row>
    <row r="56" spans="1:5" hidden="1">
      <c r="A56" t="s">
        <v>15</v>
      </c>
      <c r="B56" t="s">
        <v>66</v>
      </c>
      <c r="C56" t="s">
        <v>8</v>
      </c>
    </row>
    <row r="57" spans="1:5" hidden="1">
      <c r="A57" t="s">
        <v>15</v>
      </c>
      <c r="B57" t="s">
        <v>67</v>
      </c>
      <c r="C57" t="s">
        <v>8</v>
      </c>
    </row>
    <row r="58" spans="1:5">
      <c r="A58" t="s">
        <v>15</v>
      </c>
      <c r="B58" t="s">
        <v>68</v>
      </c>
      <c r="C58" t="s">
        <v>8</v>
      </c>
      <c r="D58" s="20">
        <v>1556477</v>
      </c>
      <c r="E58" t="s">
        <v>19</v>
      </c>
    </row>
    <row r="59" spans="1:5" hidden="1">
      <c r="A59" t="s">
        <v>15</v>
      </c>
      <c r="B59" t="s">
        <v>69</v>
      </c>
      <c r="C59" t="s">
        <v>8</v>
      </c>
    </row>
    <row r="60" spans="1:5">
      <c r="A60" t="s">
        <v>15</v>
      </c>
      <c r="B60" t="s">
        <v>70</v>
      </c>
      <c r="C60" t="s">
        <v>8</v>
      </c>
      <c r="D60" s="20">
        <v>147500</v>
      </c>
      <c r="E60" t="s">
        <v>19</v>
      </c>
    </row>
    <row r="61" spans="1:5">
      <c r="A61" t="s">
        <v>15</v>
      </c>
      <c r="B61" t="s">
        <v>71</v>
      </c>
      <c r="C61" t="s">
        <v>8</v>
      </c>
      <c r="D61" s="20">
        <v>206453.6</v>
      </c>
      <c r="E61" t="s">
        <v>19</v>
      </c>
    </row>
    <row r="62" spans="1:5">
      <c r="A62" t="s">
        <v>15</v>
      </c>
      <c r="B62" t="s">
        <v>72</v>
      </c>
      <c r="C62" t="s">
        <v>8</v>
      </c>
      <c r="D62" s="20">
        <v>132214.25</v>
      </c>
      <c r="E62" t="s">
        <v>19</v>
      </c>
    </row>
    <row r="63" spans="1:5" hidden="1">
      <c r="A63" t="s">
        <v>15</v>
      </c>
      <c r="B63" t="s">
        <v>73</v>
      </c>
      <c r="C63" t="s">
        <v>8</v>
      </c>
    </row>
    <row r="64" spans="1:5">
      <c r="A64" t="s">
        <v>15</v>
      </c>
      <c r="B64" t="s">
        <v>74</v>
      </c>
      <c r="C64" t="s">
        <v>8</v>
      </c>
      <c r="D64" s="20">
        <v>14000</v>
      </c>
      <c r="E64" t="s">
        <v>19</v>
      </c>
    </row>
    <row r="65" spans="1:5">
      <c r="A65" t="s">
        <v>15</v>
      </c>
      <c r="B65" t="s">
        <v>75</v>
      </c>
      <c r="C65" t="s">
        <v>8</v>
      </c>
      <c r="D65" s="20">
        <v>25753</v>
      </c>
      <c r="E65" t="s">
        <v>19</v>
      </c>
    </row>
    <row r="66" spans="1:5" hidden="1">
      <c r="A66" t="s">
        <v>15</v>
      </c>
      <c r="B66" t="s">
        <v>76</v>
      </c>
      <c r="C66" t="s">
        <v>8</v>
      </c>
    </row>
    <row r="67" spans="1:5">
      <c r="A67" t="s">
        <v>15</v>
      </c>
      <c r="B67" t="s">
        <v>77</v>
      </c>
      <c r="C67" t="s">
        <v>8</v>
      </c>
      <c r="D67" s="20">
        <v>14000</v>
      </c>
      <c r="E67" t="s">
        <v>19</v>
      </c>
    </row>
    <row r="68" spans="1:5" hidden="1">
      <c r="A68" t="s">
        <v>15</v>
      </c>
      <c r="B68" t="s">
        <v>78</v>
      </c>
      <c r="C68" t="s">
        <v>8</v>
      </c>
    </row>
    <row r="69" spans="1:5" hidden="1">
      <c r="A69" t="s">
        <v>15</v>
      </c>
      <c r="B69" t="s">
        <v>79</v>
      </c>
      <c r="C69" t="s">
        <v>8</v>
      </c>
    </row>
    <row r="70" spans="1:5" hidden="1">
      <c r="A70" t="s">
        <v>15</v>
      </c>
      <c r="B70" t="s">
        <v>80</v>
      </c>
      <c r="C70" t="s">
        <v>8</v>
      </c>
    </row>
    <row r="71" spans="1:5" hidden="1">
      <c r="A71" t="s">
        <v>15</v>
      </c>
      <c r="B71" t="s">
        <v>81</v>
      </c>
      <c r="C71" t="s">
        <v>8</v>
      </c>
    </row>
    <row r="72" spans="1:5" hidden="1">
      <c r="A72" t="s">
        <v>15</v>
      </c>
      <c r="B72" t="s">
        <v>82</v>
      </c>
      <c r="C72" t="s">
        <v>8</v>
      </c>
    </row>
    <row r="73" spans="1:5" hidden="1">
      <c r="A73" t="s">
        <v>15</v>
      </c>
      <c r="B73" t="s">
        <v>83</v>
      </c>
      <c r="C73" t="s">
        <v>8</v>
      </c>
    </row>
    <row r="74" spans="1:5" hidden="1">
      <c r="A74" t="s">
        <v>15</v>
      </c>
      <c r="B74" t="s">
        <v>84</v>
      </c>
      <c r="C74" t="s">
        <v>8</v>
      </c>
    </row>
    <row r="75" spans="1:5" hidden="1">
      <c r="A75" t="s">
        <v>15</v>
      </c>
      <c r="B75" t="s">
        <v>85</v>
      </c>
      <c r="C75" t="s">
        <v>8</v>
      </c>
    </row>
    <row r="76" spans="1:5" hidden="1">
      <c r="A76" t="s">
        <v>15</v>
      </c>
      <c r="B76" t="s">
        <v>86</v>
      </c>
      <c r="C76" t="s">
        <v>8</v>
      </c>
    </row>
    <row r="77" spans="1:5" hidden="1">
      <c r="A77" t="s">
        <v>15</v>
      </c>
      <c r="B77" t="s">
        <v>87</v>
      </c>
      <c r="C77" t="s">
        <v>8</v>
      </c>
    </row>
    <row r="78" spans="1:5" hidden="1">
      <c r="A78" t="s">
        <v>15</v>
      </c>
      <c r="B78" t="s">
        <v>88</v>
      </c>
      <c r="C78" t="s">
        <v>8</v>
      </c>
    </row>
    <row r="79" spans="1:5" hidden="1">
      <c r="A79" t="s">
        <v>15</v>
      </c>
      <c r="B79" t="s">
        <v>89</v>
      </c>
      <c r="C79" t="s">
        <v>8</v>
      </c>
    </row>
    <row r="80" spans="1:5" hidden="1">
      <c r="A80" t="s">
        <v>15</v>
      </c>
      <c r="B80" t="s">
        <v>90</v>
      </c>
      <c r="C80" t="s">
        <v>8</v>
      </c>
    </row>
    <row r="81" spans="1:5" hidden="1">
      <c r="A81" t="s">
        <v>15</v>
      </c>
      <c r="B81" t="s">
        <v>91</v>
      </c>
      <c r="C81" t="s">
        <v>8</v>
      </c>
    </row>
    <row r="82" spans="1:5">
      <c r="A82" t="s">
        <v>15</v>
      </c>
      <c r="B82" t="s">
        <v>92</v>
      </c>
      <c r="C82" t="s">
        <v>8</v>
      </c>
      <c r="D82" s="20">
        <v>16000</v>
      </c>
      <c r="E82" t="s">
        <v>19</v>
      </c>
    </row>
    <row r="83" spans="1:5">
      <c r="A83" t="s">
        <v>15</v>
      </c>
      <c r="B83" t="s">
        <v>93</v>
      </c>
      <c r="C83" t="s">
        <v>8</v>
      </c>
      <c r="D83" s="20">
        <v>241116.29</v>
      </c>
      <c r="E83" t="s">
        <v>19</v>
      </c>
    </row>
    <row r="84" spans="1:5" hidden="1">
      <c r="A84" t="s">
        <v>15</v>
      </c>
      <c r="B84" t="s">
        <v>94</v>
      </c>
      <c r="C84" t="s">
        <v>8</v>
      </c>
    </row>
    <row r="85" spans="1:5" hidden="1">
      <c r="A85" t="s">
        <v>15</v>
      </c>
      <c r="B85" t="s">
        <v>95</v>
      </c>
      <c r="C85" t="s">
        <v>8</v>
      </c>
    </row>
    <row r="86" spans="1:5">
      <c r="A86" t="s">
        <v>15</v>
      </c>
      <c r="B86" t="s">
        <v>96</v>
      </c>
      <c r="C86" t="s">
        <v>8</v>
      </c>
      <c r="D86" s="20">
        <v>89975</v>
      </c>
      <c r="E86" t="s">
        <v>19</v>
      </c>
    </row>
    <row r="87" spans="1:5">
      <c r="A87" t="s">
        <v>15</v>
      </c>
      <c r="B87" t="s">
        <v>97</v>
      </c>
      <c r="C87" t="s">
        <v>8</v>
      </c>
      <c r="D87" s="20">
        <v>444625.45</v>
      </c>
      <c r="E87" t="s">
        <v>19</v>
      </c>
    </row>
    <row r="88" spans="1:5" hidden="1">
      <c r="A88" t="s">
        <v>15</v>
      </c>
      <c r="B88" t="s">
        <v>98</v>
      </c>
      <c r="C88" t="s">
        <v>8</v>
      </c>
    </row>
    <row r="89" spans="1:5">
      <c r="A89" t="s">
        <v>15</v>
      </c>
      <c r="B89" t="s">
        <v>99</v>
      </c>
      <c r="C89" t="s">
        <v>8</v>
      </c>
      <c r="D89" s="20">
        <v>618494.4</v>
      </c>
      <c r="E89" t="s">
        <v>19</v>
      </c>
    </row>
    <row r="90" spans="1:5" hidden="1">
      <c r="A90" t="s">
        <v>15</v>
      </c>
      <c r="B90" t="s">
        <v>100</v>
      </c>
      <c r="C90" t="s">
        <v>8</v>
      </c>
    </row>
    <row r="91" spans="1:5">
      <c r="A91" t="s">
        <v>15</v>
      </c>
      <c r="B91" t="s">
        <v>101</v>
      </c>
      <c r="C91" t="s">
        <v>8</v>
      </c>
      <c r="D91" s="20">
        <v>3747031.49</v>
      </c>
      <c r="E91" t="s">
        <v>19</v>
      </c>
    </row>
    <row r="92" spans="1:5">
      <c r="A92" t="s">
        <v>15</v>
      </c>
      <c r="B92" t="s">
        <v>102</v>
      </c>
      <c r="C92" t="s">
        <v>8</v>
      </c>
      <c r="D92" s="20">
        <v>7610</v>
      </c>
      <c r="E92" t="s">
        <v>19</v>
      </c>
    </row>
    <row r="93" spans="1:5" hidden="1">
      <c r="A93" t="s">
        <v>15</v>
      </c>
      <c r="B93" t="s">
        <v>103</v>
      </c>
      <c r="C93" t="s">
        <v>8</v>
      </c>
    </row>
    <row r="94" spans="1:5" hidden="1">
      <c r="A94" t="s">
        <v>15</v>
      </c>
      <c r="B94" t="s">
        <v>104</v>
      </c>
      <c r="C94" t="s">
        <v>8</v>
      </c>
    </row>
    <row r="95" spans="1:5">
      <c r="A95" t="s">
        <v>15</v>
      </c>
      <c r="B95" t="s">
        <v>105</v>
      </c>
      <c r="C95" t="s">
        <v>8</v>
      </c>
      <c r="D95" s="20">
        <v>154471</v>
      </c>
      <c r="E95" t="s">
        <v>19</v>
      </c>
    </row>
    <row r="96" spans="1:5">
      <c r="A96" t="s">
        <v>15</v>
      </c>
      <c r="B96" t="s">
        <v>106</v>
      </c>
      <c r="C96" t="s">
        <v>8</v>
      </c>
      <c r="D96" s="20">
        <v>65464</v>
      </c>
      <c r="E96" t="s">
        <v>19</v>
      </c>
    </row>
    <row r="97" spans="1:5">
      <c r="A97" t="s">
        <v>15</v>
      </c>
      <c r="B97" t="s">
        <v>107</v>
      </c>
      <c r="C97" t="s">
        <v>8</v>
      </c>
      <c r="D97" s="20">
        <v>54870</v>
      </c>
      <c r="E97" t="s">
        <v>19</v>
      </c>
    </row>
    <row r="98" spans="1:5">
      <c r="A98" t="s">
        <v>15</v>
      </c>
      <c r="B98" t="s">
        <v>108</v>
      </c>
      <c r="C98" t="s">
        <v>8</v>
      </c>
      <c r="D98" s="20">
        <v>91033</v>
      </c>
      <c r="E98" t="s">
        <v>19</v>
      </c>
    </row>
    <row r="99" spans="1:5">
      <c r="A99" t="s">
        <v>15</v>
      </c>
      <c r="B99" t="s">
        <v>109</v>
      </c>
      <c r="C99" t="s">
        <v>8</v>
      </c>
      <c r="D99" s="20">
        <v>95533</v>
      </c>
      <c r="E99" t="s">
        <v>19</v>
      </c>
    </row>
    <row r="100" spans="1:5">
      <c r="A100" t="s">
        <v>15</v>
      </c>
      <c r="B100" t="s">
        <v>110</v>
      </c>
      <c r="C100" t="s">
        <v>8</v>
      </c>
      <c r="D100" s="20">
        <v>95533</v>
      </c>
      <c r="E100" t="s">
        <v>19</v>
      </c>
    </row>
    <row r="101" spans="1:5">
      <c r="A101" t="s">
        <v>15</v>
      </c>
      <c r="B101" t="s">
        <v>111</v>
      </c>
      <c r="C101" t="s">
        <v>8</v>
      </c>
      <c r="D101" s="20">
        <v>91836</v>
      </c>
      <c r="E101" t="s">
        <v>19</v>
      </c>
    </row>
    <row r="102" spans="1:5" hidden="1">
      <c r="A102" t="s">
        <v>15</v>
      </c>
      <c r="B102" t="s">
        <v>112</v>
      </c>
      <c r="C102" t="s">
        <v>8</v>
      </c>
    </row>
    <row r="103" spans="1:5" hidden="1">
      <c r="A103" t="s">
        <v>15</v>
      </c>
      <c r="B103" t="s">
        <v>113</v>
      </c>
      <c r="C103" t="s">
        <v>8</v>
      </c>
    </row>
    <row r="104" spans="1:5">
      <c r="A104" t="s">
        <v>15</v>
      </c>
      <c r="B104" t="s">
        <v>114</v>
      </c>
      <c r="C104" t="s">
        <v>8</v>
      </c>
      <c r="D104" s="20">
        <v>4315175</v>
      </c>
      <c r="E104" t="s">
        <v>19</v>
      </c>
    </row>
    <row r="105" spans="1:5">
      <c r="A105" t="s">
        <v>15</v>
      </c>
      <c r="B105" t="s">
        <v>115</v>
      </c>
      <c r="C105" t="s">
        <v>8</v>
      </c>
      <c r="D105" s="20">
        <v>103680934</v>
      </c>
      <c r="E105" t="s">
        <v>19</v>
      </c>
    </row>
    <row r="106" spans="1:5" hidden="1">
      <c r="A106" t="s">
        <v>15</v>
      </c>
      <c r="B106" t="s">
        <v>116</v>
      </c>
      <c r="C106" t="s">
        <v>8</v>
      </c>
    </row>
    <row r="107" spans="1:5">
      <c r="A107" t="s">
        <v>15</v>
      </c>
      <c r="B107" t="s">
        <v>117</v>
      </c>
      <c r="C107" t="s">
        <v>8</v>
      </c>
      <c r="D107" s="20">
        <v>82666</v>
      </c>
      <c r="E107" t="s">
        <v>19</v>
      </c>
    </row>
    <row r="108" spans="1:5">
      <c r="A108" t="s">
        <v>15</v>
      </c>
      <c r="B108" t="s">
        <v>118</v>
      </c>
      <c r="C108" t="s">
        <v>8</v>
      </c>
      <c r="D108" s="20">
        <v>99511</v>
      </c>
      <c r="E108" t="s">
        <v>19</v>
      </c>
    </row>
    <row r="109" spans="1:5" hidden="1">
      <c r="A109" t="s">
        <v>15</v>
      </c>
      <c r="B109" t="s">
        <v>119</v>
      </c>
      <c r="C109" t="s">
        <v>8</v>
      </c>
    </row>
    <row r="110" spans="1:5">
      <c r="A110" t="s">
        <v>15</v>
      </c>
      <c r="B110" t="s">
        <v>120</v>
      </c>
      <c r="C110" t="s">
        <v>8</v>
      </c>
      <c r="D110" s="20">
        <v>90804</v>
      </c>
      <c r="E110" t="s">
        <v>19</v>
      </c>
    </row>
    <row r="111" spans="1:5">
      <c r="A111" t="s">
        <v>15</v>
      </c>
      <c r="B111" t="s">
        <v>121</v>
      </c>
      <c r="C111" t="s">
        <v>8</v>
      </c>
      <c r="D111" s="20">
        <v>95533</v>
      </c>
      <c r="E111" t="s">
        <v>19</v>
      </c>
    </row>
    <row r="112" spans="1:5">
      <c r="A112" t="s">
        <v>15</v>
      </c>
      <c r="B112" t="s">
        <v>122</v>
      </c>
      <c r="C112" t="s">
        <v>8</v>
      </c>
      <c r="D112" s="20">
        <v>95533</v>
      </c>
      <c r="E112" t="s">
        <v>19</v>
      </c>
    </row>
    <row r="113" spans="1:5">
      <c r="A113" t="s">
        <v>15</v>
      </c>
      <c r="B113" t="s">
        <v>123</v>
      </c>
      <c r="C113" t="s">
        <v>8</v>
      </c>
      <c r="D113" s="20">
        <v>129887</v>
      </c>
      <c r="E113" t="s">
        <v>19</v>
      </c>
    </row>
    <row r="114" spans="1:5">
      <c r="A114" t="s">
        <v>15</v>
      </c>
      <c r="B114" t="s">
        <v>124</v>
      </c>
      <c r="C114" t="s">
        <v>8</v>
      </c>
      <c r="D114" s="20">
        <v>238999</v>
      </c>
      <c r="E114" t="s">
        <v>19</v>
      </c>
    </row>
    <row r="115" spans="1:5">
      <c r="A115" t="s">
        <v>15</v>
      </c>
      <c r="B115" t="s">
        <v>125</v>
      </c>
      <c r="C115" t="s">
        <v>8</v>
      </c>
      <c r="D115" s="20">
        <v>155731</v>
      </c>
      <c r="E115" t="s">
        <v>19</v>
      </c>
    </row>
    <row r="116" spans="1:5">
      <c r="A116" t="s">
        <v>15</v>
      </c>
      <c r="B116" t="s">
        <v>126</v>
      </c>
      <c r="C116" t="s">
        <v>8</v>
      </c>
      <c r="D116" s="20">
        <v>248578.56</v>
      </c>
      <c r="E116" t="s">
        <v>19</v>
      </c>
    </row>
    <row r="117" spans="1:5">
      <c r="A117" t="s">
        <v>15</v>
      </c>
      <c r="B117" t="s">
        <v>127</v>
      </c>
      <c r="C117" t="s">
        <v>8</v>
      </c>
      <c r="D117" s="20">
        <v>268888.78000000003</v>
      </c>
      <c r="E117" t="s">
        <v>19</v>
      </c>
    </row>
    <row r="118" spans="1:5">
      <c r="A118" t="s">
        <v>15</v>
      </c>
      <c r="B118" t="s">
        <v>128</v>
      </c>
      <c r="C118" t="s">
        <v>8</v>
      </c>
      <c r="D118" s="20">
        <v>110091</v>
      </c>
      <c r="E118" t="s">
        <v>19</v>
      </c>
    </row>
    <row r="119" spans="1:5">
      <c r="A119" t="s">
        <v>15</v>
      </c>
      <c r="B119" t="s">
        <v>129</v>
      </c>
      <c r="C119" t="s">
        <v>8</v>
      </c>
      <c r="D119" s="20">
        <v>234891</v>
      </c>
      <c r="E119" t="s">
        <v>19</v>
      </c>
    </row>
    <row r="120" spans="1:5">
      <c r="A120" t="s">
        <v>15</v>
      </c>
      <c r="B120" t="s">
        <v>130</v>
      </c>
      <c r="C120" t="s">
        <v>8</v>
      </c>
      <c r="D120" s="20">
        <v>223452.9</v>
      </c>
      <c r="E120" t="s">
        <v>19</v>
      </c>
    </row>
    <row r="121" spans="1:5">
      <c r="A121" t="s">
        <v>15</v>
      </c>
      <c r="B121" t="s">
        <v>131</v>
      </c>
      <c r="C121" t="s">
        <v>8</v>
      </c>
      <c r="D121" s="20">
        <v>247948</v>
      </c>
      <c r="E121" t="s">
        <v>19</v>
      </c>
    </row>
    <row r="122" spans="1:5" hidden="1">
      <c r="A122" t="s">
        <v>15</v>
      </c>
      <c r="B122" t="s">
        <v>132</v>
      </c>
      <c r="C122" t="s">
        <v>8</v>
      </c>
    </row>
    <row r="123" spans="1:5">
      <c r="A123" t="s">
        <v>15</v>
      </c>
      <c r="B123" t="s">
        <v>133</v>
      </c>
      <c r="C123" t="s">
        <v>8</v>
      </c>
      <c r="D123" s="20">
        <v>155642</v>
      </c>
      <c r="E123" t="s">
        <v>19</v>
      </c>
    </row>
    <row r="124" spans="1:5">
      <c r="A124" t="s">
        <v>15</v>
      </c>
      <c r="B124" t="s">
        <v>134</v>
      </c>
      <c r="C124" t="s">
        <v>8</v>
      </c>
      <c r="D124" s="20">
        <v>106691.92</v>
      </c>
      <c r="E124" t="s">
        <v>19</v>
      </c>
    </row>
    <row r="125" spans="1:5" hidden="1">
      <c r="A125" t="s">
        <v>15</v>
      </c>
      <c r="B125" t="s">
        <v>135</v>
      </c>
      <c r="C125" t="s">
        <v>8</v>
      </c>
    </row>
    <row r="126" spans="1:5">
      <c r="A126" t="s">
        <v>15</v>
      </c>
      <c r="B126" t="s">
        <v>136</v>
      </c>
      <c r="C126" t="s">
        <v>8</v>
      </c>
      <c r="D126" s="20">
        <v>126849.25</v>
      </c>
      <c r="E126" t="s">
        <v>19</v>
      </c>
    </row>
    <row r="127" spans="1:5">
      <c r="A127" t="s">
        <v>15</v>
      </c>
      <c r="B127" t="s">
        <v>137</v>
      </c>
      <c r="C127" t="s">
        <v>8</v>
      </c>
      <c r="D127" s="20">
        <v>25427</v>
      </c>
      <c r="E127" t="s">
        <v>19</v>
      </c>
    </row>
    <row r="128" spans="1:5" hidden="1">
      <c r="A128" t="s">
        <v>15</v>
      </c>
      <c r="B128" t="s">
        <v>138</v>
      </c>
      <c r="C128" t="s">
        <v>139</v>
      </c>
    </row>
    <row r="129" spans="1:5" hidden="1">
      <c r="A129" t="s">
        <v>15</v>
      </c>
      <c r="B129" t="s">
        <v>140</v>
      </c>
      <c r="C129" t="s">
        <v>8</v>
      </c>
    </row>
    <row r="130" spans="1:5" hidden="1">
      <c r="A130" t="s">
        <v>15</v>
      </c>
      <c r="B130" t="s">
        <v>141</v>
      </c>
      <c r="C130" t="s">
        <v>8</v>
      </c>
    </row>
    <row r="131" spans="1:5">
      <c r="A131" t="s">
        <v>15</v>
      </c>
      <c r="B131" t="s">
        <v>142</v>
      </c>
      <c r="C131" t="s">
        <v>8</v>
      </c>
      <c r="D131" s="20">
        <v>88134.8</v>
      </c>
      <c r="E131" t="s">
        <v>19</v>
      </c>
    </row>
    <row r="132" spans="1:5">
      <c r="A132" t="s">
        <v>15</v>
      </c>
      <c r="B132" t="s">
        <v>143</v>
      </c>
      <c r="C132" t="s">
        <v>8</v>
      </c>
      <c r="D132" s="20">
        <v>158375</v>
      </c>
      <c r="E132" t="s">
        <v>19</v>
      </c>
    </row>
    <row r="133" spans="1:5" hidden="1">
      <c r="A133" t="s">
        <v>15</v>
      </c>
      <c r="B133" t="s">
        <v>144</v>
      </c>
      <c r="C133" t="s">
        <v>8</v>
      </c>
    </row>
    <row r="134" spans="1:5" hidden="1">
      <c r="A134" t="s">
        <v>15</v>
      </c>
      <c r="B134" t="s">
        <v>145</v>
      </c>
      <c r="C134" t="s">
        <v>8</v>
      </c>
    </row>
    <row r="135" spans="1:5" hidden="1">
      <c r="A135" t="s">
        <v>15</v>
      </c>
      <c r="B135" t="s">
        <v>146</v>
      </c>
      <c r="C135" t="s">
        <v>8</v>
      </c>
    </row>
    <row r="136" spans="1:5">
      <c r="A136" t="s">
        <v>15</v>
      </c>
      <c r="B136" t="s">
        <v>147</v>
      </c>
      <c r="C136" t="s">
        <v>8</v>
      </c>
      <c r="D136" s="20">
        <v>63757.79</v>
      </c>
      <c r="E136" t="s">
        <v>19</v>
      </c>
    </row>
    <row r="137" spans="1:5">
      <c r="A137" t="s">
        <v>15</v>
      </c>
      <c r="B137" t="s">
        <v>148</v>
      </c>
      <c r="C137" t="s">
        <v>8</v>
      </c>
      <c r="D137" s="20">
        <v>73535.06</v>
      </c>
      <c r="E137" t="s">
        <v>19</v>
      </c>
    </row>
    <row r="138" spans="1:5" hidden="1">
      <c r="A138" t="s">
        <v>15</v>
      </c>
      <c r="B138" t="s">
        <v>149</v>
      </c>
      <c r="C138" t="s">
        <v>8</v>
      </c>
    </row>
    <row r="139" spans="1:5" hidden="1">
      <c r="A139" t="s">
        <v>15</v>
      </c>
      <c r="B139" t="s">
        <v>150</v>
      </c>
      <c r="C139" t="s">
        <v>8</v>
      </c>
    </row>
    <row r="140" spans="1:5" hidden="1">
      <c r="A140" t="s">
        <v>15</v>
      </c>
      <c r="B140" t="s">
        <v>151</v>
      </c>
      <c r="C140" t="s">
        <v>8</v>
      </c>
    </row>
    <row r="141" spans="1:5">
      <c r="A141" t="s">
        <v>15</v>
      </c>
      <c r="B141" t="s">
        <v>152</v>
      </c>
      <c r="C141" t="s">
        <v>8</v>
      </c>
      <c r="D141" s="20">
        <v>674904.73</v>
      </c>
      <c r="E141" t="s">
        <v>19</v>
      </c>
    </row>
    <row r="142" spans="1:5" hidden="1">
      <c r="A142" t="s">
        <v>15</v>
      </c>
      <c r="B142" t="s">
        <v>153</v>
      </c>
      <c r="C142" t="s">
        <v>8</v>
      </c>
    </row>
    <row r="143" spans="1:5" hidden="1">
      <c r="A143" t="s">
        <v>15</v>
      </c>
      <c r="B143" t="s">
        <v>154</v>
      </c>
      <c r="C143" t="s">
        <v>8</v>
      </c>
    </row>
    <row r="144" spans="1:5" hidden="1">
      <c r="A144" t="s">
        <v>15</v>
      </c>
      <c r="B144" t="s">
        <v>155</v>
      </c>
      <c r="C144" t="s">
        <v>8</v>
      </c>
    </row>
    <row r="145" spans="1:5" hidden="1">
      <c r="A145" t="s">
        <v>15</v>
      </c>
      <c r="B145" t="s">
        <v>156</v>
      </c>
      <c r="C145" t="s">
        <v>8</v>
      </c>
    </row>
    <row r="146" spans="1:5" hidden="1">
      <c r="A146" t="s">
        <v>15</v>
      </c>
      <c r="B146" t="s">
        <v>157</v>
      </c>
      <c r="C146" t="s">
        <v>8</v>
      </c>
    </row>
    <row r="147" spans="1:5" hidden="1">
      <c r="A147" t="s">
        <v>15</v>
      </c>
      <c r="B147" t="s">
        <v>158</v>
      </c>
      <c r="C147" t="s">
        <v>8</v>
      </c>
    </row>
    <row r="148" spans="1:5" hidden="1">
      <c r="A148" t="s">
        <v>15</v>
      </c>
      <c r="B148" t="s">
        <v>159</v>
      </c>
      <c r="C148" t="s">
        <v>8</v>
      </c>
    </row>
    <row r="149" spans="1:5" hidden="1">
      <c r="A149" t="s">
        <v>15</v>
      </c>
      <c r="B149" t="s">
        <v>160</v>
      </c>
      <c r="C149" t="s">
        <v>8</v>
      </c>
    </row>
    <row r="150" spans="1:5" hidden="1">
      <c r="A150" t="s">
        <v>15</v>
      </c>
      <c r="B150" t="s">
        <v>161</v>
      </c>
      <c r="C150" t="s">
        <v>8</v>
      </c>
    </row>
    <row r="151" spans="1:5" hidden="1">
      <c r="A151" t="s">
        <v>15</v>
      </c>
      <c r="B151" t="s">
        <v>162</v>
      </c>
      <c r="C151" t="s">
        <v>8</v>
      </c>
    </row>
    <row r="152" spans="1:5" hidden="1">
      <c r="A152" t="s">
        <v>15</v>
      </c>
      <c r="B152" t="s">
        <v>163</v>
      </c>
      <c r="C152" t="s">
        <v>8</v>
      </c>
    </row>
    <row r="153" spans="1:5" hidden="1">
      <c r="A153" t="s">
        <v>15</v>
      </c>
      <c r="B153" t="s">
        <v>164</v>
      </c>
      <c r="C153" t="s">
        <v>8</v>
      </c>
    </row>
    <row r="154" spans="1:5" hidden="1">
      <c r="A154" t="s">
        <v>15</v>
      </c>
      <c r="B154" t="s">
        <v>165</v>
      </c>
      <c r="C154" t="s">
        <v>8</v>
      </c>
    </row>
    <row r="155" spans="1:5" hidden="1">
      <c r="A155" t="s">
        <v>15</v>
      </c>
      <c r="B155" t="s">
        <v>166</v>
      </c>
      <c r="C155" t="s">
        <v>8</v>
      </c>
    </row>
    <row r="156" spans="1:5" hidden="1">
      <c r="A156" t="s">
        <v>15</v>
      </c>
      <c r="B156" t="s">
        <v>167</v>
      </c>
      <c r="C156" t="s">
        <v>8</v>
      </c>
    </row>
    <row r="157" spans="1:5" hidden="1">
      <c r="A157" t="s">
        <v>15</v>
      </c>
      <c r="B157" t="s">
        <v>168</v>
      </c>
      <c r="C157" t="s">
        <v>8</v>
      </c>
    </row>
    <row r="158" spans="1:5">
      <c r="A158" t="s">
        <v>15</v>
      </c>
      <c r="B158" t="s">
        <v>169</v>
      </c>
      <c r="C158" t="s">
        <v>8</v>
      </c>
      <c r="D158" s="20">
        <v>34798.19</v>
      </c>
      <c r="E158" t="s">
        <v>19</v>
      </c>
    </row>
    <row r="159" spans="1:5" hidden="1">
      <c r="A159" t="s">
        <v>15</v>
      </c>
      <c r="B159" t="s">
        <v>170</v>
      </c>
      <c r="C159" t="s">
        <v>8</v>
      </c>
    </row>
    <row r="160" spans="1:5">
      <c r="A160" t="s">
        <v>15</v>
      </c>
      <c r="B160" t="s">
        <v>171</v>
      </c>
      <c r="C160" t="s">
        <v>8</v>
      </c>
      <c r="D160" s="20">
        <v>37765</v>
      </c>
      <c r="E160" t="s">
        <v>19</v>
      </c>
    </row>
    <row r="161" spans="1:5" hidden="1">
      <c r="A161" t="s">
        <v>15</v>
      </c>
      <c r="B161" t="s">
        <v>172</v>
      </c>
      <c r="C161" t="s">
        <v>8</v>
      </c>
    </row>
    <row r="162" spans="1:5" hidden="1">
      <c r="A162" t="s">
        <v>15</v>
      </c>
      <c r="B162" t="s">
        <v>173</v>
      </c>
      <c r="C162" t="s">
        <v>8</v>
      </c>
    </row>
    <row r="163" spans="1:5" hidden="1">
      <c r="A163" t="s">
        <v>15</v>
      </c>
      <c r="B163" t="s">
        <v>174</v>
      </c>
      <c r="C163" t="s">
        <v>8</v>
      </c>
    </row>
    <row r="164" spans="1:5" hidden="1">
      <c r="A164" t="s">
        <v>15</v>
      </c>
      <c r="B164" t="s">
        <v>175</v>
      </c>
      <c r="C164" t="s">
        <v>8</v>
      </c>
    </row>
    <row r="165" spans="1:5" hidden="1">
      <c r="A165" t="s">
        <v>15</v>
      </c>
      <c r="B165" t="s">
        <v>176</v>
      </c>
      <c r="C165" t="s">
        <v>8</v>
      </c>
    </row>
    <row r="166" spans="1:5">
      <c r="A166" t="s">
        <v>15</v>
      </c>
      <c r="B166" t="s">
        <v>177</v>
      </c>
      <c r="C166" t="s">
        <v>8</v>
      </c>
      <c r="D166" s="20">
        <v>90619.23</v>
      </c>
      <c r="E166" t="s">
        <v>19</v>
      </c>
    </row>
    <row r="167" spans="1:5">
      <c r="A167" t="s">
        <v>15</v>
      </c>
      <c r="B167" t="s">
        <v>178</v>
      </c>
      <c r="C167" t="s">
        <v>8</v>
      </c>
      <c r="D167" s="20">
        <v>40020</v>
      </c>
      <c r="E167" t="s">
        <v>19</v>
      </c>
    </row>
    <row r="168" spans="1:5" hidden="1">
      <c r="A168" t="s">
        <v>15</v>
      </c>
      <c r="B168" t="s">
        <v>179</v>
      </c>
      <c r="C168" t="s">
        <v>8</v>
      </c>
    </row>
    <row r="169" spans="1:5" hidden="1">
      <c r="A169" t="s">
        <v>15</v>
      </c>
      <c r="B169" t="s">
        <v>180</v>
      </c>
      <c r="C169" t="s">
        <v>8</v>
      </c>
    </row>
    <row r="170" spans="1:5">
      <c r="A170" t="s">
        <v>15</v>
      </c>
      <c r="B170" t="s">
        <v>181</v>
      </c>
      <c r="C170" t="s">
        <v>8</v>
      </c>
      <c r="D170" s="20">
        <v>471999</v>
      </c>
      <c r="E170" t="s">
        <v>19</v>
      </c>
    </row>
    <row r="171" spans="1:5">
      <c r="A171" t="s">
        <v>15</v>
      </c>
      <c r="B171" t="s">
        <v>182</v>
      </c>
      <c r="C171" t="s">
        <v>8</v>
      </c>
      <c r="D171" s="20">
        <v>868016.69</v>
      </c>
      <c r="E171" t="s">
        <v>19</v>
      </c>
    </row>
    <row r="172" spans="1:5">
      <c r="A172" t="s">
        <v>15</v>
      </c>
      <c r="B172" t="s">
        <v>183</v>
      </c>
      <c r="C172" t="s">
        <v>8</v>
      </c>
      <c r="D172" s="20">
        <v>953892.01</v>
      </c>
      <c r="E172" t="s">
        <v>19</v>
      </c>
    </row>
    <row r="173" spans="1:5">
      <c r="A173" t="s">
        <v>15</v>
      </c>
      <c r="B173" t="s">
        <v>184</v>
      </c>
      <c r="C173" t="s">
        <v>8</v>
      </c>
      <c r="D173" s="20">
        <v>149415.35999999999</v>
      </c>
      <c r="E173" t="s">
        <v>19</v>
      </c>
    </row>
    <row r="174" spans="1:5">
      <c r="A174" t="s">
        <v>15</v>
      </c>
      <c r="B174" t="s">
        <v>185</v>
      </c>
      <c r="C174" t="s">
        <v>8</v>
      </c>
      <c r="D174" s="20">
        <v>540381</v>
      </c>
      <c r="E174" t="s">
        <v>19</v>
      </c>
    </row>
    <row r="175" spans="1:5">
      <c r="A175" t="s">
        <v>15</v>
      </c>
      <c r="B175" t="s">
        <v>186</v>
      </c>
      <c r="C175" t="s">
        <v>8</v>
      </c>
      <c r="D175" s="20">
        <v>1017467</v>
      </c>
      <c r="E175" t="s">
        <v>19</v>
      </c>
    </row>
    <row r="176" spans="1:5" hidden="1">
      <c r="A176" t="s">
        <v>15</v>
      </c>
      <c r="B176" t="s">
        <v>187</v>
      </c>
      <c r="C176" t="s">
        <v>8</v>
      </c>
    </row>
    <row r="177" spans="1:5">
      <c r="A177" t="s">
        <v>15</v>
      </c>
      <c r="B177" t="s">
        <v>188</v>
      </c>
      <c r="C177" t="s">
        <v>8</v>
      </c>
      <c r="D177" s="20">
        <v>575894</v>
      </c>
      <c r="E177" t="s">
        <v>19</v>
      </c>
    </row>
    <row r="178" spans="1:5">
      <c r="A178" t="s">
        <v>15</v>
      </c>
      <c r="B178" t="s">
        <v>189</v>
      </c>
      <c r="C178" t="s">
        <v>8</v>
      </c>
      <c r="D178" s="20">
        <v>7514.54</v>
      </c>
      <c r="E178" t="s">
        <v>19</v>
      </c>
    </row>
    <row r="179" spans="1:5">
      <c r="A179" t="s">
        <v>15</v>
      </c>
      <c r="B179" t="s">
        <v>190</v>
      </c>
      <c r="C179" t="s">
        <v>8</v>
      </c>
      <c r="D179" s="20">
        <v>655577.80000000005</v>
      </c>
      <c r="E179" t="s">
        <v>19</v>
      </c>
    </row>
    <row r="180" spans="1:5">
      <c r="A180" t="s">
        <v>15</v>
      </c>
      <c r="B180" t="s">
        <v>191</v>
      </c>
      <c r="C180" t="s">
        <v>8</v>
      </c>
      <c r="D180" s="20">
        <v>548057.80000000005</v>
      </c>
      <c r="E180" t="s">
        <v>19</v>
      </c>
    </row>
    <row r="181" spans="1:5">
      <c r="A181" t="s">
        <v>15</v>
      </c>
      <c r="B181" t="s">
        <v>192</v>
      </c>
      <c r="C181" t="s">
        <v>8</v>
      </c>
      <c r="D181" s="20">
        <v>818110.22</v>
      </c>
      <c r="E181" t="s">
        <v>19</v>
      </c>
    </row>
    <row r="182" spans="1:5">
      <c r="A182" t="s">
        <v>15</v>
      </c>
      <c r="B182" t="s">
        <v>193</v>
      </c>
      <c r="C182" t="s">
        <v>8</v>
      </c>
      <c r="D182" s="20">
        <v>4500</v>
      </c>
      <c r="E182" t="s">
        <v>19</v>
      </c>
    </row>
    <row r="183" spans="1:5">
      <c r="A183" t="s">
        <v>15</v>
      </c>
      <c r="B183" t="s">
        <v>194</v>
      </c>
      <c r="C183" t="s">
        <v>8</v>
      </c>
      <c r="D183" s="20">
        <v>499973.11</v>
      </c>
      <c r="E183" t="s">
        <v>19</v>
      </c>
    </row>
    <row r="184" spans="1:5">
      <c r="A184" t="s">
        <v>15</v>
      </c>
      <c r="B184" t="s">
        <v>195</v>
      </c>
      <c r="C184" t="s">
        <v>8</v>
      </c>
      <c r="D184" s="20">
        <v>167805</v>
      </c>
      <c r="E184" t="s">
        <v>19</v>
      </c>
    </row>
    <row r="185" spans="1:5">
      <c r="A185" t="s">
        <v>15</v>
      </c>
      <c r="B185" t="s">
        <v>196</v>
      </c>
      <c r="C185" t="s">
        <v>8</v>
      </c>
      <c r="D185" s="20">
        <v>890805.5</v>
      </c>
      <c r="E185" t="s">
        <v>19</v>
      </c>
    </row>
    <row r="186" spans="1:5">
      <c r="A186" t="s">
        <v>15</v>
      </c>
      <c r="B186" t="s">
        <v>197</v>
      </c>
      <c r="C186" t="s">
        <v>8</v>
      </c>
      <c r="D186" s="20">
        <v>86813.2</v>
      </c>
      <c r="E186" t="s">
        <v>19</v>
      </c>
    </row>
    <row r="187" spans="1:5">
      <c r="A187" t="s">
        <v>15</v>
      </c>
      <c r="B187" t="s">
        <v>198</v>
      </c>
      <c r="C187" t="s">
        <v>8</v>
      </c>
      <c r="D187" s="20">
        <v>1080606.1299999999</v>
      </c>
      <c r="E187" t="s">
        <v>19</v>
      </c>
    </row>
    <row r="188" spans="1:5" hidden="1">
      <c r="A188" t="s">
        <v>15</v>
      </c>
      <c r="B188" t="s">
        <v>199</v>
      </c>
      <c r="C188" t="s">
        <v>8</v>
      </c>
    </row>
    <row r="189" spans="1:5">
      <c r="A189" t="s">
        <v>15</v>
      </c>
      <c r="B189" t="s">
        <v>200</v>
      </c>
      <c r="C189" t="s">
        <v>8</v>
      </c>
      <c r="D189" s="20">
        <v>40920</v>
      </c>
      <c r="E189" t="s">
        <v>19</v>
      </c>
    </row>
    <row r="190" spans="1:5">
      <c r="A190" t="s">
        <v>15</v>
      </c>
      <c r="B190" t="s">
        <v>201</v>
      </c>
      <c r="C190" t="s">
        <v>8</v>
      </c>
      <c r="D190" s="20">
        <v>137797.78</v>
      </c>
      <c r="E190" t="s">
        <v>25</v>
      </c>
    </row>
    <row r="191" spans="1:5">
      <c r="A191" t="s">
        <v>15</v>
      </c>
      <c r="B191" t="s">
        <v>202</v>
      </c>
      <c r="C191" t="s">
        <v>8</v>
      </c>
      <c r="D191" s="20">
        <v>13168.26</v>
      </c>
      <c r="E191" t="s">
        <v>19</v>
      </c>
    </row>
    <row r="192" spans="1:5">
      <c r="A192" t="s">
        <v>15</v>
      </c>
      <c r="B192" t="s">
        <v>203</v>
      </c>
      <c r="C192" t="s">
        <v>8</v>
      </c>
      <c r="D192" s="20">
        <v>660301.12</v>
      </c>
      <c r="E192" t="s">
        <v>19</v>
      </c>
    </row>
    <row r="193" spans="1:5">
      <c r="A193" t="s">
        <v>15</v>
      </c>
      <c r="B193" t="s">
        <v>204</v>
      </c>
      <c r="C193" t="s">
        <v>8</v>
      </c>
      <c r="D193" s="20">
        <v>503232.01</v>
      </c>
      <c r="E193" t="s">
        <v>19</v>
      </c>
    </row>
    <row r="194" spans="1:5">
      <c r="A194" t="s">
        <v>15</v>
      </c>
      <c r="B194" t="s">
        <v>205</v>
      </c>
      <c r="C194" t="s">
        <v>8</v>
      </c>
      <c r="D194" s="20">
        <v>88466</v>
      </c>
      <c r="E194" t="s">
        <v>25</v>
      </c>
    </row>
    <row r="195" spans="1:5">
      <c r="A195" t="s">
        <v>15</v>
      </c>
      <c r="B195" t="s">
        <v>206</v>
      </c>
      <c r="C195" t="s">
        <v>8</v>
      </c>
      <c r="D195" s="20">
        <v>9613.4500000000007</v>
      </c>
      <c r="E195" t="s">
        <v>19</v>
      </c>
    </row>
    <row r="196" spans="1:5">
      <c r="A196" t="s">
        <v>15</v>
      </c>
      <c r="B196" t="s">
        <v>207</v>
      </c>
      <c r="C196" t="s">
        <v>8</v>
      </c>
      <c r="D196" s="20">
        <v>514530</v>
      </c>
      <c r="E196" t="s">
        <v>19</v>
      </c>
    </row>
    <row r="197" spans="1:5">
      <c r="A197" t="s">
        <v>15</v>
      </c>
      <c r="B197" t="s">
        <v>208</v>
      </c>
      <c r="C197" t="s">
        <v>8</v>
      </c>
      <c r="D197" s="20">
        <v>381955.85</v>
      </c>
      <c r="E197" t="s">
        <v>19</v>
      </c>
    </row>
    <row r="198" spans="1:5">
      <c r="A198" t="s">
        <v>15</v>
      </c>
      <c r="B198" t="s">
        <v>209</v>
      </c>
      <c r="C198" t="s">
        <v>8</v>
      </c>
      <c r="D198" s="20">
        <v>1072981</v>
      </c>
      <c r="E198" t="s">
        <v>19</v>
      </c>
    </row>
    <row r="199" spans="1:5">
      <c r="A199" t="s">
        <v>15</v>
      </c>
      <c r="B199" t="s">
        <v>210</v>
      </c>
      <c r="C199" t="s">
        <v>8</v>
      </c>
      <c r="D199" s="20">
        <v>579041.16</v>
      </c>
      <c r="E199" t="s">
        <v>19</v>
      </c>
    </row>
    <row r="200" spans="1:5">
      <c r="A200" t="s">
        <v>15</v>
      </c>
      <c r="B200" t="s">
        <v>211</v>
      </c>
      <c r="C200" t="s">
        <v>8</v>
      </c>
      <c r="D200" s="20">
        <v>549251.68000000005</v>
      </c>
      <c r="E200" t="s">
        <v>19</v>
      </c>
    </row>
    <row r="201" spans="1:5">
      <c r="A201" t="s">
        <v>15</v>
      </c>
      <c r="B201" t="s">
        <v>212</v>
      </c>
      <c r="C201" t="s">
        <v>8</v>
      </c>
      <c r="D201" s="20">
        <v>503521</v>
      </c>
      <c r="E201" t="s">
        <v>19</v>
      </c>
    </row>
    <row r="202" spans="1:5">
      <c r="A202" t="s">
        <v>15</v>
      </c>
      <c r="B202" t="s">
        <v>213</v>
      </c>
      <c r="C202" t="s">
        <v>8</v>
      </c>
      <c r="D202" s="20">
        <v>194168.9</v>
      </c>
      <c r="E202" t="s">
        <v>19</v>
      </c>
    </row>
    <row r="203" spans="1:5">
      <c r="A203" t="s">
        <v>15</v>
      </c>
      <c r="B203" t="s">
        <v>214</v>
      </c>
      <c r="C203" t="s">
        <v>8</v>
      </c>
      <c r="D203" s="20">
        <v>388273.96</v>
      </c>
      <c r="E203" t="s">
        <v>19</v>
      </c>
    </row>
    <row r="204" spans="1:5">
      <c r="A204" t="s">
        <v>15</v>
      </c>
      <c r="B204" t="s">
        <v>215</v>
      </c>
      <c r="C204" t="s">
        <v>8</v>
      </c>
      <c r="D204" s="20">
        <v>82314</v>
      </c>
      <c r="E204" t="s">
        <v>19</v>
      </c>
    </row>
    <row r="205" spans="1:5">
      <c r="A205" t="s">
        <v>15</v>
      </c>
      <c r="B205" t="s">
        <v>216</v>
      </c>
      <c r="C205" t="s">
        <v>8</v>
      </c>
      <c r="D205" s="20">
        <v>326281.15999999997</v>
      </c>
      <c r="E205" t="s">
        <v>19</v>
      </c>
    </row>
    <row r="206" spans="1:5">
      <c r="A206" t="s">
        <v>15</v>
      </c>
      <c r="B206" t="s">
        <v>217</v>
      </c>
      <c r="C206" t="s">
        <v>8</v>
      </c>
      <c r="D206" s="20">
        <v>632486.84</v>
      </c>
      <c r="E206" t="s">
        <v>19</v>
      </c>
    </row>
    <row r="207" spans="1:5">
      <c r="A207" t="s">
        <v>15</v>
      </c>
      <c r="B207" t="s">
        <v>218</v>
      </c>
      <c r="C207" t="s">
        <v>8</v>
      </c>
      <c r="D207" s="20">
        <v>131637.43</v>
      </c>
      <c r="E207" t="s">
        <v>19</v>
      </c>
    </row>
    <row r="208" spans="1:5">
      <c r="A208" t="s">
        <v>15</v>
      </c>
      <c r="B208" t="s">
        <v>219</v>
      </c>
      <c r="C208" t="s">
        <v>8</v>
      </c>
      <c r="D208" s="20">
        <v>69197.86</v>
      </c>
      <c r="E208" t="s">
        <v>19</v>
      </c>
    </row>
    <row r="209" spans="1:5">
      <c r="A209" t="s">
        <v>15</v>
      </c>
      <c r="B209" t="s">
        <v>220</v>
      </c>
      <c r="C209" t="s">
        <v>8</v>
      </c>
      <c r="D209" s="20">
        <v>898073.79</v>
      </c>
      <c r="E209" t="s">
        <v>19</v>
      </c>
    </row>
    <row r="210" spans="1:5">
      <c r="A210" t="s">
        <v>15</v>
      </c>
      <c r="B210" t="s">
        <v>221</v>
      </c>
      <c r="C210" t="s">
        <v>8</v>
      </c>
      <c r="D210" s="20">
        <v>747480</v>
      </c>
      <c r="E210" t="s">
        <v>19</v>
      </c>
    </row>
    <row r="211" spans="1:5">
      <c r="A211" t="s">
        <v>15</v>
      </c>
      <c r="B211" t="s">
        <v>222</v>
      </c>
      <c r="C211" t="s">
        <v>8</v>
      </c>
      <c r="D211" s="20">
        <v>476853</v>
      </c>
      <c r="E211" t="s">
        <v>19</v>
      </c>
    </row>
    <row r="212" spans="1:5">
      <c r="A212" t="s">
        <v>15</v>
      </c>
      <c r="B212" t="s">
        <v>223</v>
      </c>
      <c r="C212" t="s">
        <v>8</v>
      </c>
      <c r="D212" s="20">
        <v>148090</v>
      </c>
      <c r="E212" t="s">
        <v>19</v>
      </c>
    </row>
    <row r="213" spans="1:5">
      <c r="A213" t="s">
        <v>15</v>
      </c>
      <c r="B213" t="s">
        <v>224</v>
      </c>
      <c r="C213" t="s">
        <v>8</v>
      </c>
      <c r="D213" s="20">
        <v>1313</v>
      </c>
      <c r="E213" t="s">
        <v>19</v>
      </c>
    </row>
    <row r="214" spans="1:5">
      <c r="A214" t="s">
        <v>15</v>
      </c>
      <c r="B214" t="s">
        <v>225</v>
      </c>
      <c r="C214" t="s">
        <v>8</v>
      </c>
      <c r="D214" s="20">
        <v>75752</v>
      </c>
      <c r="E214" t="s">
        <v>19</v>
      </c>
    </row>
    <row r="215" spans="1:5">
      <c r="A215" t="s">
        <v>15</v>
      </c>
      <c r="B215" t="s">
        <v>226</v>
      </c>
      <c r="C215" t="s">
        <v>8</v>
      </c>
      <c r="D215" s="20">
        <v>18951</v>
      </c>
      <c r="E215" t="s">
        <v>19</v>
      </c>
    </row>
    <row r="216" spans="1:5">
      <c r="A216" t="s">
        <v>15</v>
      </c>
      <c r="B216" t="s">
        <v>227</v>
      </c>
      <c r="C216" t="s">
        <v>8</v>
      </c>
      <c r="D216" s="20">
        <v>705231.8</v>
      </c>
      <c r="E216" t="s">
        <v>19</v>
      </c>
    </row>
    <row r="217" spans="1:5">
      <c r="A217" t="s">
        <v>15</v>
      </c>
      <c r="B217" t="s">
        <v>228</v>
      </c>
      <c r="C217" t="s">
        <v>8</v>
      </c>
      <c r="D217" s="20">
        <v>125598.69</v>
      </c>
      <c r="E217" t="s">
        <v>19</v>
      </c>
    </row>
    <row r="218" spans="1:5">
      <c r="A218" t="s">
        <v>15</v>
      </c>
      <c r="B218" t="s">
        <v>229</v>
      </c>
      <c r="C218" t="s">
        <v>8</v>
      </c>
      <c r="D218" s="20">
        <v>530483</v>
      </c>
      <c r="E218" t="s">
        <v>19</v>
      </c>
    </row>
    <row r="219" spans="1:5">
      <c r="A219" t="s">
        <v>15</v>
      </c>
      <c r="B219" t="s">
        <v>230</v>
      </c>
      <c r="C219" t="s">
        <v>8</v>
      </c>
      <c r="D219" s="20">
        <v>93350</v>
      </c>
      <c r="E219" t="s">
        <v>19</v>
      </c>
    </row>
    <row r="220" spans="1:5">
      <c r="A220" t="s">
        <v>15</v>
      </c>
      <c r="B220" t="s">
        <v>231</v>
      </c>
      <c r="C220" t="s">
        <v>8</v>
      </c>
      <c r="D220" s="20">
        <v>16500</v>
      </c>
      <c r="E220" t="s">
        <v>19</v>
      </c>
    </row>
    <row r="221" spans="1:5">
      <c r="A221" t="s">
        <v>15</v>
      </c>
      <c r="B221" t="s">
        <v>232</v>
      </c>
      <c r="C221" t="s">
        <v>8</v>
      </c>
      <c r="D221" s="20">
        <v>393373.8</v>
      </c>
      <c r="E221" t="s">
        <v>19</v>
      </c>
    </row>
    <row r="222" spans="1:5">
      <c r="A222" t="s">
        <v>15</v>
      </c>
      <c r="B222" t="s">
        <v>233</v>
      </c>
      <c r="C222" t="s">
        <v>8</v>
      </c>
      <c r="D222" s="20">
        <v>448928.37</v>
      </c>
      <c r="E222" t="s">
        <v>19</v>
      </c>
    </row>
    <row r="223" spans="1:5">
      <c r="A223" t="s">
        <v>15</v>
      </c>
      <c r="B223" t="s">
        <v>234</v>
      </c>
      <c r="C223" t="s">
        <v>8</v>
      </c>
      <c r="D223" s="20">
        <v>13479.08</v>
      </c>
      <c r="E223" t="s">
        <v>19</v>
      </c>
    </row>
    <row r="224" spans="1:5">
      <c r="A224" t="s">
        <v>15</v>
      </c>
      <c r="B224" t="s">
        <v>235</v>
      </c>
      <c r="C224" t="s">
        <v>8</v>
      </c>
      <c r="D224" s="20">
        <v>15540</v>
      </c>
      <c r="E224" t="s">
        <v>19</v>
      </c>
    </row>
    <row r="225" spans="1:5">
      <c r="A225" t="s">
        <v>15</v>
      </c>
      <c r="B225" t="s">
        <v>236</v>
      </c>
      <c r="C225" t="s">
        <v>8</v>
      </c>
      <c r="D225" s="20">
        <v>725151.26</v>
      </c>
      <c r="E225" t="s">
        <v>19</v>
      </c>
    </row>
    <row r="226" spans="1:5">
      <c r="A226" t="s">
        <v>15</v>
      </c>
      <c r="B226" t="s">
        <v>237</v>
      </c>
      <c r="C226" t="s">
        <v>8</v>
      </c>
      <c r="D226" s="20">
        <v>1312.5</v>
      </c>
      <c r="E226" t="s">
        <v>19</v>
      </c>
    </row>
    <row r="227" spans="1:5">
      <c r="A227" t="s">
        <v>15</v>
      </c>
      <c r="B227" t="s">
        <v>238</v>
      </c>
      <c r="C227" t="s">
        <v>8</v>
      </c>
      <c r="D227" s="20">
        <v>695</v>
      </c>
      <c r="E227" t="s">
        <v>25</v>
      </c>
    </row>
    <row r="228" spans="1:5">
      <c r="A228" t="s">
        <v>15</v>
      </c>
      <c r="B228" t="s">
        <v>239</v>
      </c>
      <c r="C228" t="s">
        <v>8</v>
      </c>
      <c r="D228" s="20">
        <v>1313</v>
      </c>
      <c r="E228" t="s">
        <v>19</v>
      </c>
    </row>
    <row r="229" spans="1:5">
      <c r="A229" t="s">
        <v>15</v>
      </c>
      <c r="B229" t="s">
        <v>240</v>
      </c>
      <c r="C229" t="s">
        <v>8</v>
      </c>
      <c r="D229" s="20">
        <v>8750</v>
      </c>
      <c r="E229" t="s">
        <v>19</v>
      </c>
    </row>
    <row r="230" spans="1:5">
      <c r="A230" t="s">
        <v>15</v>
      </c>
      <c r="B230" t="s">
        <v>241</v>
      </c>
      <c r="C230" t="s">
        <v>8</v>
      </c>
      <c r="D230" s="20">
        <v>6562.5</v>
      </c>
      <c r="E230" t="s">
        <v>19</v>
      </c>
    </row>
    <row r="231" spans="1:5">
      <c r="A231" t="s">
        <v>15</v>
      </c>
      <c r="B231" t="s">
        <v>242</v>
      </c>
      <c r="C231" t="s">
        <v>8</v>
      </c>
      <c r="D231" s="20">
        <v>1312.5</v>
      </c>
      <c r="E231" t="s">
        <v>19</v>
      </c>
    </row>
    <row r="232" spans="1:5">
      <c r="A232" t="s">
        <v>15</v>
      </c>
      <c r="B232" t="s">
        <v>243</v>
      </c>
      <c r="C232" t="s">
        <v>8</v>
      </c>
      <c r="D232" s="20">
        <v>6562.5</v>
      </c>
      <c r="E232" t="s">
        <v>19</v>
      </c>
    </row>
    <row r="233" spans="1:5">
      <c r="A233" t="s">
        <v>15</v>
      </c>
      <c r="B233" t="s">
        <v>244</v>
      </c>
      <c r="C233" t="s">
        <v>8</v>
      </c>
      <c r="D233" s="20">
        <v>5163</v>
      </c>
      <c r="E233" t="s">
        <v>19</v>
      </c>
    </row>
    <row r="234" spans="1:5" hidden="1">
      <c r="A234" t="s">
        <v>15</v>
      </c>
      <c r="B234" t="s">
        <v>245</v>
      </c>
      <c r="C234" t="s">
        <v>8</v>
      </c>
    </row>
    <row r="235" spans="1:5" hidden="1">
      <c r="A235" t="s">
        <v>15</v>
      </c>
      <c r="B235" t="s">
        <v>246</v>
      </c>
      <c r="C235" t="s">
        <v>8</v>
      </c>
    </row>
    <row r="236" spans="1:5">
      <c r="A236" t="s">
        <v>15</v>
      </c>
      <c r="B236" t="s">
        <v>247</v>
      </c>
      <c r="C236" t="s">
        <v>8</v>
      </c>
      <c r="D236" s="24">
        <v>384909.81</v>
      </c>
      <c r="E236" t="s">
        <v>25</v>
      </c>
    </row>
    <row r="237" spans="1:5">
      <c r="A237" t="s">
        <v>15</v>
      </c>
      <c r="B237" t="s">
        <v>248</v>
      </c>
      <c r="C237" t="s">
        <v>8</v>
      </c>
      <c r="D237" s="20">
        <v>10516.04</v>
      </c>
      <c r="E237" t="s">
        <v>19</v>
      </c>
    </row>
    <row r="238" spans="1:5">
      <c r="A238" t="s">
        <v>15</v>
      </c>
      <c r="B238" t="s">
        <v>249</v>
      </c>
      <c r="C238" t="s">
        <v>8</v>
      </c>
      <c r="D238" s="20">
        <v>36656</v>
      </c>
      <c r="E238" t="s">
        <v>19</v>
      </c>
    </row>
    <row r="239" spans="1:5">
      <c r="A239" t="s">
        <v>15</v>
      </c>
      <c r="B239" t="s">
        <v>250</v>
      </c>
      <c r="C239" t="s">
        <v>8</v>
      </c>
      <c r="D239" s="20">
        <v>1312</v>
      </c>
      <c r="E239" t="s">
        <v>19</v>
      </c>
    </row>
    <row r="240" spans="1:5">
      <c r="A240" t="s">
        <v>15</v>
      </c>
      <c r="B240" t="s">
        <v>251</v>
      </c>
      <c r="C240" t="s">
        <v>8</v>
      </c>
      <c r="D240" s="20">
        <v>2876.56</v>
      </c>
      <c r="E240" t="s">
        <v>19</v>
      </c>
    </row>
    <row r="241" spans="1:5">
      <c r="A241" t="s">
        <v>15</v>
      </c>
      <c r="B241" t="s">
        <v>252</v>
      </c>
      <c r="C241" t="s">
        <v>8</v>
      </c>
      <c r="D241" s="20">
        <v>1518666.91</v>
      </c>
      <c r="E241" t="s">
        <v>19</v>
      </c>
    </row>
    <row r="242" spans="1:5" hidden="1">
      <c r="A242" t="s">
        <v>15</v>
      </c>
      <c r="B242" t="s">
        <v>253</v>
      </c>
      <c r="C242" t="s">
        <v>8</v>
      </c>
    </row>
    <row r="243" spans="1:5" hidden="1">
      <c r="A243" t="s">
        <v>15</v>
      </c>
      <c r="B243" t="s">
        <v>254</v>
      </c>
      <c r="C243" t="s">
        <v>8</v>
      </c>
    </row>
    <row r="244" spans="1:5" hidden="1">
      <c r="A244" t="s">
        <v>15</v>
      </c>
      <c r="B244" t="s">
        <v>255</v>
      </c>
      <c r="C244" t="s">
        <v>8</v>
      </c>
    </row>
    <row r="245" spans="1:5" hidden="1">
      <c r="A245" t="s">
        <v>15</v>
      </c>
      <c r="B245" t="s">
        <v>256</v>
      </c>
      <c r="C245" t="s">
        <v>8</v>
      </c>
    </row>
    <row r="246" spans="1:5" hidden="1">
      <c r="A246" t="s">
        <v>15</v>
      </c>
      <c r="B246" t="s">
        <v>257</v>
      </c>
      <c r="C246" t="s">
        <v>8</v>
      </c>
    </row>
    <row r="247" spans="1:5" hidden="1">
      <c r="A247" t="s">
        <v>15</v>
      </c>
      <c r="B247" t="s">
        <v>258</v>
      </c>
      <c r="C247" t="s">
        <v>8</v>
      </c>
    </row>
    <row r="248" spans="1:5" hidden="1">
      <c r="A248" t="s">
        <v>15</v>
      </c>
      <c r="B248" t="s">
        <v>259</v>
      </c>
      <c r="C248" t="s">
        <v>8</v>
      </c>
    </row>
    <row r="249" spans="1:5">
      <c r="A249" t="s">
        <v>15</v>
      </c>
      <c r="B249" t="s">
        <v>260</v>
      </c>
      <c r="C249" t="s">
        <v>8</v>
      </c>
      <c r="D249" s="20">
        <v>25123</v>
      </c>
      <c r="E249" t="s">
        <v>19</v>
      </c>
    </row>
    <row r="250" spans="1:5">
      <c r="A250" t="s">
        <v>15</v>
      </c>
      <c r="B250" t="s">
        <v>261</v>
      </c>
      <c r="C250" t="s">
        <v>8</v>
      </c>
      <c r="D250" s="19">
        <v>201255</v>
      </c>
      <c r="E250" t="s">
        <v>25</v>
      </c>
    </row>
    <row r="251" spans="1:5">
      <c r="A251" t="s">
        <v>15</v>
      </c>
      <c r="B251" t="s">
        <v>262</v>
      </c>
      <c r="C251" t="s">
        <v>8</v>
      </c>
      <c r="D251" s="20">
        <v>40277</v>
      </c>
      <c r="E251" t="s">
        <v>19</v>
      </c>
    </row>
    <row r="252" spans="1:5" hidden="1">
      <c r="A252" t="s">
        <v>15</v>
      </c>
      <c r="B252" t="s">
        <v>263</v>
      </c>
      <c r="C252" t="s">
        <v>8</v>
      </c>
    </row>
    <row r="253" spans="1:5" hidden="1">
      <c r="A253" t="s">
        <v>15</v>
      </c>
      <c r="B253" t="s">
        <v>264</v>
      </c>
      <c r="C253" t="s">
        <v>8</v>
      </c>
    </row>
    <row r="254" spans="1:5" hidden="1">
      <c r="A254" t="s">
        <v>15</v>
      </c>
      <c r="B254" t="s">
        <v>265</v>
      </c>
      <c r="C254" t="s">
        <v>8</v>
      </c>
    </row>
    <row r="255" spans="1:5" hidden="1">
      <c r="A255" t="s">
        <v>15</v>
      </c>
      <c r="B255" t="s">
        <v>266</v>
      </c>
      <c r="C255" t="s">
        <v>8</v>
      </c>
    </row>
    <row r="256" spans="1:5">
      <c r="A256" t="s">
        <v>15</v>
      </c>
      <c r="B256" t="s">
        <v>267</v>
      </c>
      <c r="C256" t="s">
        <v>8</v>
      </c>
      <c r="D256" s="20">
        <v>252747</v>
      </c>
      <c r="E256" t="s">
        <v>19</v>
      </c>
    </row>
    <row r="257" spans="1:5" hidden="1">
      <c r="A257" t="s">
        <v>15</v>
      </c>
      <c r="B257" t="s">
        <v>268</v>
      </c>
      <c r="C257" t="s">
        <v>8</v>
      </c>
    </row>
    <row r="258" spans="1:5" hidden="1">
      <c r="A258" t="s">
        <v>15</v>
      </c>
      <c r="B258" t="s">
        <v>269</v>
      </c>
      <c r="C258" t="s">
        <v>8</v>
      </c>
    </row>
    <row r="259" spans="1:5" hidden="1">
      <c r="A259" t="s">
        <v>15</v>
      </c>
      <c r="B259" t="s">
        <v>270</v>
      </c>
      <c r="C259" t="s">
        <v>8</v>
      </c>
    </row>
    <row r="260" spans="1:5" hidden="1">
      <c r="A260" t="s">
        <v>15</v>
      </c>
      <c r="B260" t="s">
        <v>271</v>
      </c>
      <c r="C260" t="s">
        <v>8</v>
      </c>
    </row>
    <row r="261" spans="1:5">
      <c r="A261" t="s">
        <v>15</v>
      </c>
      <c r="B261" t="s">
        <v>272</v>
      </c>
      <c r="C261" t="s">
        <v>8</v>
      </c>
      <c r="D261" s="20">
        <v>60822</v>
      </c>
      <c r="E261" t="s">
        <v>19</v>
      </c>
    </row>
    <row r="262" spans="1:5" hidden="1">
      <c r="A262" t="s">
        <v>15</v>
      </c>
      <c r="B262" t="s">
        <v>273</v>
      </c>
      <c r="C262" t="s">
        <v>8</v>
      </c>
    </row>
    <row r="263" spans="1:5">
      <c r="A263" t="s">
        <v>15</v>
      </c>
      <c r="B263" t="s">
        <v>274</v>
      </c>
      <c r="C263" t="s">
        <v>8</v>
      </c>
      <c r="D263" s="20">
        <v>41546</v>
      </c>
      <c r="E263" t="s">
        <v>19</v>
      </c>
    </row>
    <row r="264" spans="1:5" hidden="1">
      <c r="A264" t="s">
        <v>15</v>
      </c>
      <c r="B264" t="s">
        <v>275</v>
      </c>
      <c r="C264" t="s">
        <v>8</v>
      </c>
    </row>
    <row r="265" spans="1:5" hidden="1">
      <c r="A265" t="s">
        <v>15</v>
      </c>
      <c r="B265" t="s">
        <v>276</v>
      </c>
      <c r="C265" t="s">
        <v>8</v>
      </c>
    </row>
    <row r="266" spans="1:5">
      <c r="A266" t="s">
        <v>15</v>
      </c>
      <c r="B266" t="s">
        <v>277</v>
      </c>
      <c r="C266" t="s">
        <v>8</v>
      </c>
      <c r="D266" s="20">
        <v>166572</v>
      </c>
      <c r="E266" t="s">
        <v>19</v>
      </c>
    </row>
    <row r="267" spans="1:5">
      <c r="A267" t="s">
        <v>15</v>
      </c>
      <c r="B267" t="s">
        <v>278</v>
      </c>
      <c r="C267" t="s">
        <v>8</v>
      </c>
      <c r="D267" s="20">
        <v>2604270</v>
      </c>
      <c r="E267" t="s">
        <v>19</v>
      </c>
    </row>
    <row r="268" spans="1:5">
      <c r="A268" t="s">
        <v>15</v>
      </c>
      <c r="B268" t="s">
        <v>279</v>
      </c>
      <c r="C268" t="s">
        <v>8</v>
      </c>
      <c r="D268" s="20">
        <v>100605</v>
      </c>
      <c r="E268" t="s">
        <v>19</v>
      </c>
    </row>
    <row r="269" spans="1:5" hidden="1">
      <c r="A269" t="s">
        <v>15</v>
      </c>
      <c r="B269" t="s">
        <v>280</v>
      </c>
      <c r="C269" t="s">
        <v>8</v>
      </c>
    </row>
    <row r="270" spans="1:5">
      <c r="A270" t="s">
        <v>15</v>
      </c>
      <c r="B270" t="s">
        <v>281</v>
      </c>
      <c r="C270" t="s">
        <v>8</v>
      </c>
      <c r="D270" s="20">
        <v>83084</v>
      </c>
      <c r="E270" t="s">
        <v>19</v>
      </c>
    </row>
    <row r="271" spans="1:5">
      <c r="A271" t="s">
        <v>15</v>
      </c>
      <c r="B271" t="s">
        <v>282</v>
      </c>
      <c r="C271" t="s">
        <v>8</v>
      </c>
      <c r="D271" s="20">
        <v>1736180</v>
      </c>
      <c r="E271" t="s">
        <v>19</v>
      </c>
    </row>
    <row r="272" spans="1:5">
      <c r="A272" t="s">
        <v>15</v>
      </c>
      <c r="B272" t="s">
        <v>283</v>
      </c>
      <c r="C272" t="s">
        <v>8</v>
      </c>
      <c r="D272" s="20">
        <v>70531</v>
      </c>
      <c r="E272" t="s">
        <v>19</v>
      </c>
    </row>
    <row r="273" spans="1:5" hidden="1">
      <c r="A273" t="s">
        <v>15</v>
      </c>
      <c r="B273" t="s">
        <v>284</v>
      </c>
      <c r="C273" t="s">
        <v>8</v>
      </c>
    </row>
    <row r="274" spans="1:5">
      <c r="A274" t="s">
        <v>15</v>
      </c>
      <c r="B274" t="s">
        <v>285</v>
      </c>
      <c r="C274" t="s">
        <v>8</v>
      </c>
      <c r="D274" s="25">
        <v>397269.87</v>
      </c>
      <c r="E274" t="s">
        <v>25</v>
      </c>
    </row>
    <row r="275" spans="1:5">
      <c r="A275" t="s">
        <v>15</v>
      </c>
      <c r="B275" t="s">
        <v>286</v>
      </c>
      <c r="C275" t="s">
        <v>8</v>
      </c>
      <c r="D275" s="20">
        <v>226340.8</v>
      </c>
      <c r="E275" t="s">
        <v>19</v>
      </c>
    </row>
    <row r="276" spans="1:5">
      <c r="A276" t="s">
        <v>15</v>
      </c>
      <c r="B276" t="s">
        <v>287</v>
      </c>
      <c r="C276" t="s">
        <v>8</v>
      </c>
      <c r="D276" s="20">
        <v>317252.76</v>
      </c>
      <c r="E276" t="s">
        <v>19</v>
      </c>
    </row>
    <row r="277" spans="1:5" hidden="1">
      <c r="A277" t="s">
        <v>15</v>
      </c>
      <c r="B277" t="s">
        <v>288</v>
      </c>
      <c r="C277" t="s">
        <v>8</v>
      </c>
    </row>
    <row r="278" spans="1:5">
      <c r="A278" t="s">
        <v>15</v>
      </c>
      <c r="B278" t="s">
        <v>289</v>
      </c>
      <c r="C278" t="s">
        <v>8</v>
      </c>
      <c r="D278" s="20">
        <v>109143</v>
      </c>
      <c r="E278" t="s">
        <v>19</v>
      </c>
    </row>
    <row r="279" spans="1:5">
      <c r="A279" t="s">
        <v>15</v>
      </c>
      <c r="B279" t="s">
        <v>290</v>
      </c>
      <c r="C279" t="s">
        <v>8</v>
      </c>
      <c r="D279" s="20">
        <v>318878</v>
      </c>
      <c r="E279" t="s">
        <v>19</v>
      </c>
    </row>
    <row r="280" spans="1:5">
      <c r="A280" t="s">
        <v>15</v>
      </c>
      <c r="B280" t="s">
        <v>291</v>
      </c>
      <c r="C280" t="s">
        <v>8</v>
      </c>
      <c r="D280" s="20">
        <v>117981</v>
      </c>
      <c r="E280" t="s">
        <v>19</v>
      </c>
    </row>
    <row r="281" spans="1:5">
      <c r="A281" t="s">
        <v>15</v>
      </c>
      <c r="B281" t="s">
        <v>292</v>
      </c>
      <c r="C281" t="s">
        <v>8</v>
      </c>
      <c r="D281" s="20">
        <v>117981</v>
      </c>
      <c r="E281" t="s">
        <v>19</v>
      </c>
    </row>
    <row r="282" spans="1:5">
      <c r="A282" t="s">
        <v>15</v>
      </c>
      <c r="B282" t="s">
        <v>293</v>
      </c>
      <c r="C282" t="s">
        <v>8</v>
      </c>
      <c r="D282" s="20">
        <v>68910</v>
      </c>
      <c r="E282" t="s">
        <v>19</v>
      </c>
    </row>
    <row r="283" spans="1:5">
      <c r="A283" t="s">
        <v>15</v>
      </c>
      <c r="B283" t="s">
        <v>294</v>
      </c>
      <c r="C283" t="s">
        <v>8</v>
      </c>
      <c r="D283" s="20">
        <v>55125</v>
      </c>
      <c r="E283" t="s">
        <v>19</v>
      </c>
    </row>
    <row r="284" spans="1:5">
      <c r="A284" t="s">
        <v>15</v>
      </c>
      <c r="B284" t="s">
        <v>295</v>
      </c>
      <c r="C284" t="s">
        <v>8</v>
      </c>
      <c r="D284" s="20">
        <v>35041.370000000003</v>
      </c>
      <c r="E284" t="s">
        <v>19</v>
      </c>
    </row>
    <row r="285" spans="1:5">
      <c r="A285" t="s">
        <v>15</v>
      </c>
      <c r="B285" t="s">
        <v>296</v>
      </c>
      <c r="C285" t="s">
        <v>8</v>
      </c>
      <c r="D285" s="20">
        <v>51543.5</v>
      </c>
      <c r="E285" t="s">
        <v>19</v>
      </c>
    </row>
    <row r="286" spans="1:5">
      <c r="A286" t="s">
        <v>15</v>
      </c>
      <c r="B286" t="s">
        <v>297</v>
      </c>
      <c r="C286" t="s">
        <v>8</v>
      </c>
      <c r="D286" s="20">
        <v>120496.1</v>
      </c>
      <c r="E286" t="s">
        <v>19</v>
      </c>
    </row>
    <row r="287" spans="1:5">
      <c r="A287" t="s">
        <v>15</v>
      </c>
      <c r="B287" t="s">
        <v>298</v>
      </c>
      <c r="C287" t="s">
        <v>8</v>
      </c>
      <c r="D287" s="20">
        <v>102583.5</v>
      </c>
      <c r="E287" t="s">
        <v>19</v>
      </c>
    </row>
    <row r="288" spans="1:5">
      <c r="A288" t="s">
        <v>15</v>
      </c>
      <c r="B288" t="s">
        <v>299</v>
      </c>
      <c r="C288" t="s">
        <v>8</v>
      </c>
      <c r="D288" s="20">
        <f>52991.7-953</f>
        <v>52038.7</v>
      </c>
      <c r="E288" t="s">
        <v>19</v>
      </c>
    </row>
    <row r="289" spans="1:5" hidden="1">
      <c r="A289" t="s">
        <v>15</v>
      </c>
      <c r="B289" t="s">
        <v>300</v>
      </c>
      <c r="C289" t="s">
        <v>8</v>
      </c>
    </row>
    <row r="290" spans="1:5" hidden="1">
      <c r="A290" t="s">
        <v>15</v>
      </c>
      <c r="B290" t="s">
        <v>301</v>
      </c>
      <c r="C290" t="s">
        <v>8</v>
      </c>
    </row>
    <row r="291" spans="1:5">
      <c r="A291" t="s">
        <v>15</v>
      </c>
      <c r="B291" t="s">
        <v>302</v>
      </c>
      <c r="C291" t="s">
        <v>8</v>
      </c>
      <c r="D291" s="20">
        <v>679712</v>
      </c>
      <c r="E291" t="s">
        <v>19</v>
      </c>
    </row>
    <row r="292" spans="1:5">
      <c r="A292" t="s">
        <v>15</v>
      </c>
      <c r="B292" t="s">
        <v>303</v>
      </c>
      <c r="C292" t="s">
        <v>8</v>
      </c>
      <c r="D292" s="20">
        <v>16591</v>
      </c>
      <c r="E292" t="s">
        <v>19</v>
      </c>
    </row>
    <row r="293" spans="1:5">
      <c r="A293" t="s">
        <v>15</v>
      </c>
      <c r="B293" t="s">
        <v>304</v>
      </c>
      <c r="C293" t="s">
        <v>8</v>
      </c>
      <c r="D293" s="20">
        <v>304676</v>
      </c>
      <c r="E293" t="s">
        <v>19</v>
      </c>
    </row>
    <row r="294" spans="1:5" hidden="1">
      <c r="A294" t="s">
        <v>15</v>
      </c>
      <c r="B294" t="s">
        <v>305</v>
      </c>
      <c r="C294" t="s">
        <v>8</v>
      </c>
    </row>
    <row r="295" spans="1:5" hidden="1">
      <c r="A295" t="s">
        <v>15</v>
      </c>
      <c r="B295" t="s">
        <v>306</v>
      </c>
      <c r="C295" t="s">
        <v>8</v>
      </c>
    </row>
    <row r="296" spans="1:5" hidden="1">
      <c r="A296" t="s">
        <v>15</v>
      </c>
      <c r="B296" t="s">
        <v>307</v>
      </c>
      <c r="C296" t="s">
        <v>8</v>
      </c>
    </row>
    <row r="297" spans="1:5" hidden="1">
      <c r="A297" t="s">
        <v>15</v>
      </c>
      <c r="B297" t="s">
        <v>308</v>
      </c>
      <c r="C297" t="s">
        <v>8</v>
      </c>
    </row>
    <row r="298" spans="1:5">
      <c r="A298" t="s">
        <v>15</v>
      </c>
      <c r="B298" t="s">
        <v>309</v>
      </c>
      <c r="C298" t="s">
        <v>8</v>
      </c>
      <c r="D298" s="20">
        <v>5566193.5999999996</v>
      </c>
      <c r="E298" t="s">
        <v>19</v>
      </c>
    </row>
    <row r="299" spans="1:5" hidden="1">
      <c r="A299" t="s">
        <v>15</v>
      </c>
      <c r="B299" t="s">
        <v>310</v>
      </c>
      <c r="C299" t="s">
        <v>8</v>
      </c>
    </row>
    <row r="300" spans="1:5" hidden="1">
      <c r="A300" t="s">
        <v>15</v>
      </c>
      <c r="B300" t="s">
        <v>311</v>
      </c>
      <c r="C300" t="s">
        <v>8</v>
      </c>
    </row>
    <row r="301" spans="1:5" hidden="1">
      <c r="A301" t="s">
        <v>15</v>
      </c>
      <c r="B301" t="s">
        <v>312</v>
      </c>
      <c r="C301" t="s">
        <v>8</v>
      </c>
    </row>
    <row r="302" spans="1:5" hidden="1">
      <c r="A302" t="s">
        <v>15</v>
      </c>
      <c r="B302" t="s">
        <v>313</v>
      </c>
      <c r="C302" t="s">
        <v>8</v>
      </c>
    </row>
    <row r="303" spans="1:5" hidden="1">
      <c r="A303" t="s">
        <v>15</v>
      </c>
      <c r="B303" t="s">
        <v>314</v>
      </c>
      <c r="C303" t="s">
        <v>8</v>
      </c>
    </row>
    <row r="304" spans="1:5" hidden="1">
      <c r="A304" t="s">
        <v>15</v>
      </c>
      <c r="B304" t="s">
        <v>315</v>
      </c>
      <c r="C304" t="s">
        <v>8</v>
      </c>
    </row>
    <row r="305" spans="1:4" hidden="1">
      <c r="A305" t="s">
        <v>15</v>
      </c>
      <c r="B305" t="s">
        <v>316</v>
      </c>
      <c r="C305" t="s">
        <v>8</v>
      </c>
    </row>
    <row r="306" spans="1:4" hidden="1">
      <c r="A306" t="s">
        <v>15</v>
      </c>
      <c r="B306" t="s">
        <v>317</v>
      </c>
      <c r="C306" t="s">
        <v>8</v>
      </c>
    </row>
    <row r="307" spans="1:4" hidden="1">
      <c r="A307" t="s">
        <v>318</v>
      </c>
      <c r="B307" t="s">
        <v>319</v>
      </c>
      <c r="C307" t="s">
        <v>8</v>
      </c>
      <c r="D307"/>
    </row>
    <row r="308" spans="1:4" hidden="1">
      <c r="A308" t="s">
        <v>318</v>
      </c>
      <c r="B308" t="s">
        <v>320</v>
      </c>
      <c r="C308" t="s">
        <v>8</v>
      </c>
      <c r="D308"/>
    </row>
    <row r="309" spans="1:4" hidden="1">
      <c r="A309" t="s">
        <v>318</v>
      </c>
      <c r="B309" t="s">
        <v>321</v>
      </c>
      <c r="C309" t="s">
        <v>8</v>
      </c>
      <c r="D309"/>
    </row>
    <row r="310" spans="1:4" hidden="1">
      <c r="A310" t="s">
        <v>318</v>
      </c>
      <c r="B310" t="s">
        <v>322</v>
      </c>
      <c r="C310" t="s">
        <v>8</v>
      </c>
      <c r="D310"/>
    </row>
    <row r="311" spans="1:4" hidden="1">
      <c r="A311" t="s">
        <v>318</v>
      </c>
      <c r="B311" t="s">
        <v>323</v>
      </c>
      <c r="C311" t="s">
        <v>8</v>
      </c>
      <c r="D311"/>
    </row>
    <row r="312" spans="1:4" hidden="1">
      <c r="A312" t="s">
        <v>318</v>
      </c>
      <c r="B312" t="s">
        <v>324</v>
      </c>
      <c r="C312" t="s">
        <v>8</v>
      </c>
      <c r="D312"/>
    </row>
    <row r="313" spans="1:4" hidden="1">
      <c r="A313" t="s">
        <v>318</v>
      </c>
      <c r="B313" t="s">
        <v>325</v>
      </c>
      <c r="C313" t="s">
        <v>8</v>
      </c>
      <c r="D313"/>
    </row>
    <row r="314" spans="1:4" hidden="1">
      <c r="A314" t="s">
        <v>318</v>
      </c>
      <c r="B314" t="s">
        <v>326</v>
      </c>
      <c r="C314" t="s">
        <v>8</v>
      </c>
      <c r="D314"/>
    </row>
    <row r="315" spans="1:4" hidden="1">
      <c r="A315" t="s">
        <v>318</v>
      </c>
      <c r="B315" t="s">
        <v>327</v>
      </c>
      <c r="C315" t="s">
        <v>8</v>
      </c>
      <c r="D315"/>
    </row>
    <row r="316" spans="1:4" hidden="1">
      <c r="A316" t="s">
        <v>318</v>
      </c>
      <c r="B316" t="s">
        <v>328</v>
      </c>
      <c r="C316" t="s">
        <v>8</v>
      </c>
      <c r="D316"/>
    </row>
    <row r="317" spans="1:4" hidden="1">
      <c r="A317" t="s">
        <v>318</v>
      </c>
      <c r="B317" t="s">
        <v>329</v>
      </c>
      <c r="C317" t="s">
        <v>8</v>
      </c>
      <c r="D317"/>
    </row>
    <row r="318" spans="1:4" hidden="1">
      <c r="A318" t="s">
        <v>318</v>
      </c>
      <c r="B318" t="s">
        <v>330</v>
      </c>
      <c r="C318" t="s">
        <v>8</v>
      </c>
      <c r="D318"/>
    </row>
    <row r="319" spans="1:4" hidden="1">
      <c r="A319" t="s">
        <v>318</v>
      </c>
      <c r="B319" t="s">
        <v>331</v>
      </c>
      <c r="C319" t="s">
        <v>8</v>
      </c>
      <c r="D319"/>
    </row>
    <row r="320" spans="1:4" hidden="1">
      <c r="A320" t="s">
        <v>318</v>
      </c>
      <c r="B320" t="s">
        <v>332</v>
      </c>
      <c r="C320" t="s">
        <v>8</v>
      </c>
      <c r="D320"/>
    </row>
    <row r="321" spans="1:4" hidden="1">
      <c r="A321" t="s">
        <v>318</v>
      </c>
      <c r="B321" t="s">
        <v>333</v>
      </c>
      <c r="C321" t="s">
        <v>8</v>
      </c>
      <c r="D321"/>
    </row>
    <row r="322" spans="1:4" hidden="1">
      <c r="A322" t="s">
        <v>318</v>
      </c>
      <c r="B322" t="s">
        <v>334</v>
      </c>
      <c r="C322" t="s">
        <v>8</v>
      </c>
      <c r="D322"/>
    </row>
    <row r="323" spans="1:4" hidden="1">
      <c r="A323" t="s">
        <v>318</v>
      </c>
      <c r="B323" t="s">
        <v>335</v>
      </c>
      <c r="C323" t="s">
        <v>8</v>
      </c>
      <c r="D323"/>
    </row>
    <row r="324" spans="1:4" hidden="1">
      <c r="A324" t="s">
        <v>318</v>
      </c>
      <c r="B324" t="s">
        <v>336</v>
      </c>
      <c r="C324" t="s">
        <v>8</v>
      </c>
      <c r="D324"/>
    </row>
    <row r="325" spans="1:4" hidden="1">
      <c r="A325" t="s">
        <v>318</v>
      </c>
      <c r="B325" t="s">
        <v>337</v>
      </c>
      <c r="C325" t="s">
        <v>8</v>
      </c>
      <c r="D325"/>
    </row>
    <row r="326" spans="1:4" hidden="1">
      <c r="A326" t="s">
        <v>318</v>
      </c>
      <c r="B326" t="s">
        <v>338</v>
      </c>
      <c r="C326" t="s">
        <v>8</v>
      </c>
      <c r="D326"/>
    </row>
    <row r="327" spans="1:4" hidden="1">
      <c r="A327" t="s">
        <v>318</v>
      </c>
      <c r="B327" t="s">
        <v>339</v>
      </c>
      <c r="C327" t="s">
        <v>8</v>
      </c>
      <c r="D327"/>
    </row>
    <row r="328" spans="1:4" hidden="1">
      <c r="A328" t="s">
        <v>318</v>
      </c>
      <c r="B328" t="s">
        <v>340</v>
      </c>
      <c r="C328" t="s">
        <v>8</v>
      </c>
      <c r="D328"/>
    </row>
    <row r="329" spans="1:4" hidden="1">
      <c r="A329" t="s">
        <v>318</v>
      </c>
      <c r="B329" t="s">
        <v>341</v>
      </c>
      <c r="C329" t="s">
        <v>8</v>
      </c>
      <c r="D329"/>
    </row>
    <row r="330" spans="1:4" hidden="1">
      <c r="A330" t="s">
        <v>318</v>
      </c>
      <c r="B330" t="s">
        <v>342</v>
      </c>
      <c r="C330" t="s">
        <v>8</v>
      </c>
      <c r="D330"/>
    </row>
    <row r="331" spans="1:4" hidden="1">
      <c r="A331" t="s">
        <v>318</v>
      </c>
      <c r="B331" t="s">
        <v>343</v>
      </c>
      <c r="C331" t="s">
        <v>8</v>
      </c>
      <c r="D331"/>
    </row>
    <row r="332" spans="1:4" hidden="1">
      <c r="A332" t="s">
        <v>318</v>
      </c>
      <c r="B332" t="s">
        <v>344</v>
      </c>
      <c r="C332" t="s">
        <v>8</v>
      </c>
      <c r="D332"/>
    </row>
    <row r="333" spans="1:4" hidden="1">
      <c r="A333" t="s">
        <v>318</v>
      </c>
      <c r="B333" t="s">
        <v>345</v>
      </c>
      <c r="C333" t="s">
        <v>8</v>
      </c>
      <c r="D333"/>
    </row>
    <row r="334" spans="1:4" hidden="1">
      <c r="A334" t="s">
        <v>318</v>
      </c>
      <c r="B334" t="s">
        <v>346</v>
      </c>
      <c r="C334" t="s">
        <v>8</v>
      </c>
      <c r="D334"/>
    </row>
    <row r="335" spans="1:4" hidden="1">
      <c r="A335" t="s">
        <v>318</v>
      </c>
      <c r="B335" t="s">
        <v>347</v>
      </c>
      <c r="C335" t="s">
        <v>8</v>
      </c>
      <c r="D335"/>
    </row>
    <row r="336" spans="1:4" hidden="1">
      <c r="A336" t="s">
        <v>318</v>
      </c>
      <c r="B336" t="s">
        <v>348</v>
      </c>
      <c r="C336" t="s">
        <v>8</v>
      </c>
      <c r="D336"/>
    </row>
    <row r="337" spans="1:4" hidden="1">
      <c r="A337" t="s">
        <v>318</v>
      </c>
      <c r="B337" t="s">
        <v>349</v>
      </c>
      <c r="C337" t="s">
        <v>8</v>
      </c>
      <c r="D337"/>
    </row>
    <row r="338" spans="1:4" hidden="1">
      <c r="A338" t="s">
        <v>318</v>
      </c>
      <c r="B338" t="s">
        <v>350</v>
      </c>
      <c r="C338" t="s">
        <v>8</v>
      </c>
      <c r="D338"/>
    </row>
    <row r="339" spans="1:4" hidden="1">
      <c r="A339" t="s">
        <v>318</v>
      </c>
      <c r="B339" t="s">
        <v>351</v>
      </c>
      <c r="C339" t="s">
        <v>8</v>
      </c>
      <c r="D339"/>
    </row>
    <row r="340" spans="1:4" hidden="1">
      <c r="A340" t="s">
        <v>318</v>
      </c>
      <c r="B340" t="s">
        <v>352</v>
      </c>
      <c r="C340" t="s">
        <v>8</v>
      </c>
      <c r="D340"/>
    </row>
    <row r="341" spans="1:4" hidden="1">
      <c r="A341" t="s">
        <v>318</v>
      </c>
      <c r="B341" t="s">
        <v>353</v>
      </c>
      <c r="C341" t="s">
        <v>8</v>
      </c>
      <c r="D341"/>
    </row>
    <row r="342" spans="1:4" hidden="1">
      <c r="A342" t="s">
        <v>318</v>
      </c>
      <c r="B342" t="s">
        <v>354</v>
      </c>
      <c r="C342" t="s">
        <v>8</v>
      </c>
      <c r="D342"/>
    </row>
    <row r="343" spans="1:4" hidden="1">
      <c r="A343" t="s">
        <v>318</v>
      </c>
      <c r="B343" t="s">
        <v>355</v>
      </c>
      <c r="C343" t="s">
        <v>8</v>
      </c>
      <c r="D343"/>
    </row>
    <row r="344" spans="1:4" hidden="1">
      <c r="A344" t="s">
        <v>318</v>
      </c>
      <c r="B344" t="s">
        <v>356</v>
      </c>
      <c r="C344" t="s">
        <v>8</v>
      </c>
      <c r="D344"/>
    </row>
    <row r="345" spans="1:4" hidden="1">
      <c r="A345" t="s">
        <v>318</v>
      </c>
      <c r="B345" t="s">
        <v>357</v>
      </c>
      <c r="C345" t="s">
        <v>8</v>
      </c>
      <c r="D345"/>
    </row>
    <row r="346" spans="1:4" hidden="1">
      <c r="A346" t="s">
        <v>318</v>
      </c>
      <c r="B346" t="s">
        <v>358</v>
      </c>
      <c r="C346" t="s">
        <v>8</v>
      </c>
      <c r="D346"/>
    </row>
    <row r="347" spans="1:4" hidden="1">
      <c r="A347" t="s">
        <v>318</v>
      </c>
      <c r="B347" t="s">
        <v>359</v>
      </c>
      <c r="C347" t="s">
        <v>8</v>
      </c>
      <c r="D347"/>
    </row>
    <row r="348" spans="1:4" hidden="1">
      <c r="A348" t="s">
        <v>318</v>
      </c>
      <c r="B348" t="s">
        <v>360</v>
      </c>
      <c r="C348" t="s">
        <v>8</v>
      </c>
      <c r="D348"/>
    </row>
    <row r="349" spans="1:4" hidden="1">
      <c r="A349" t="s">
        <v>318</v>
      </c>
      <c r="B349" t="s">
        <v>361</v>
      </c>
      <c r="C349" t="s">
        <v>8</v>
      </c>
      <c r="D349"/>
    </row>
    <row r="350" spans="1:4" hidden="1">
      <c r="A350" t="s">
        <v>318</v>
      </c>
      <c r="B350" t="s">
        <v>362</v>
      </c>
      <c r="C350" t="s">
        <v>8</v>
      </c>
      <c r="D350"/>
    </row>
    <row r="351" spans="1:4" hidden="1">
      <c r="A351" t="s">
        <v>318</v>
      </c>
      <c r="B351" t="s">
        <v>363</v>
      </c>
      <c r="C351" t="s">
        <v>8</v>
      </c>
      <c r="D351"/>
    </row>
    <row r="352" spans="1:4" hidden="1">
      <c r="A352" t="s">
        <v>318</v>
      </c>
      <c r="B352" t="s">
        <v>364</v>
      </c>
      <c r="C352" t="s">
        <v>8</v>
      </c>
      <c r="D352"/>
    </row>
    <row r="353" spans="1:4" hidden="1">
      <c r="A353" t="s">
        <v>318</v>
      </c>
      <c r="B353" t="s">
        <v>365</v>
      </c>
      <c r="C353" t="s">
        <v>8</v>
      </c>
      <c r="D353"/>
    </row>
    <row r="354" spans="1:4" hidden="1">
      <c r="A354" t="s">
        <v>318</v>
      </c>
      <c r="B354" t="s">
        <v>366</v>
      </c>
      <c r="C354" t="s">
        <v>8</v>
      </c>
      <c r="D354"/>
    </row>
    <row r="355" spans="1:4" hidden="1">
      <c r="A355" t="s">
        <v>318</v>
      </c>
      <c r="B355" t="s">
        <v>367</v>
      </c>
      <c r="C355" t="s">
        <v>8</v>
      </c>
      <c r="D355"/>
    </row>
    <row r="356" spans="1:4" hidden="1">
      <c r="A356" t="s">
        <v>318</v>
      </c>
      <c r="B356" t="s">
        <v>368</v>
      </c>
      <c r="C356" t="s">
        <v>8</v>
      </c>
      <c r="D356"/>
    </row>
    <row r="357" spans="1:4" hidden="1">
      <c r="A357" t="s">
        <v>318</v>
      </c>
      <c r="B357" t="s">
        <v>369</v>
      </c>
      <c r="C357" t="s">
        <v>8</v>
      </c>
      <c r="D357"/>
    </row>
    <row r="358" spans="1:4" hidden="1">
      <c r="A358" t="s">
        <v>318</v>
      </c>
      <c r="B358" t="s">
        <v>370</v>
      </c>
      <c r="C358" t="s">
        <v>8</v>
      </c>
      <c r="D358"/>
    </row>
    <row r="359" spans="1:4" hidden="1">
      <c r="A359" t="s">
        <v>318</v>
      </c>
      <c r="B359" t="s">
        <v>371</v>
      </c>
      <c r="C359" t="s">
        <v>8</v>
      </c>
      <c r="D359"/>
    </row>
    <row r="360" spans="1:4" hidden="1">
      <c r="A360" t="s">
        <v>318</v>
      </c>
      <c r="B360" t="s">
        <v>372</v>
      </c>
      <c r="C360" t="s">
        <v>8</v>
      </c>
      <c r="D360"/>
    </row>
    <row r="361" spans="1:4" hidden="1">
      <c r="A361" t="s">
        <v>318</v>
      </c>
      <c r="B361" t="s">
        <v>373</v>
      </c>
      <c r="C361" t="s">
        <v>8</v>
      </c>
      <c r="D361"/>
    </row>
    <row r="362" spans="1:4" hidden="1">
      <c r="A362" t="s">
        <v>318</v>
      </c>
      <c r="B362" t="s">
        <v>374</v>
      </c>
      <c r="C362" t="s">
        <v>8</v>
      </c>
      <c r="D362"/>
    </row>
    <row r="363" spans="1:4" hidden="1">
      <c r="A363" t="s">
        <v>318</v>
      </c>
      <c r="B363" t="s">
        <v>375</v>
      </c>
      <c r="C363" t="s">
        <v>8</v>
      </c>
      <c r="D363"/>
    </row>
    <row r="364" spans="1:4" hidden="1">
      <c r="A364" t="s">
        <v>318</v>
      </c>
      <c r="B364" t="s">
        <v>376</v>
      </c>
      <c r="C364" t="s">
        <v>8</v>
      </c>
      <c r="D364"/>
    </row>
    <row r="365" spans="1:4" hidden="1">
      <c r="A365" t="s">
        <v>318</v>
      </c>
      <c r="B365" t="s">
        <v>377</v>
      </c>
      <c r="C365" t="s">
        <v>8</v>
      </c>
      <c r="D365"/>
    </row>
    <row r="366" spans="1:4" hidden="1">
      <c r="A366" t="s">
        <v>318</v>
      </c>
      <c r="B366" t="s">
        <v>378</v>
      </c>
      <c r="C366" t="s">
        <v>8</v>
      </c>
      <c r="D366"/>
    </row>
    <row r="367" spans="1:4" hidden="1">
      <c r="A367" t="s">
        <v>318</v>
      </c>
      <c r="B367" t="s">
        <v>379</v>
      </c>
      <c r="C367" t="s">
        <v>8</v>
      </c>
      <c r="D367"/>
    </row>
    <row r="368" spans="1:4" hidden="1">
      <c r="A368" t="s">
        <v>318</v>
      </c>
      <c r="B368" t="s">
        <v>380</v>
      </c>
      <c r="C368" t="s">
        <v>8</v>
      </c>
      <c r="D368"/>
    </row>
    <row r="369" spans="1:4" hidden="1">
      <c r="A369" t="s">
        <v>318</v>
      </c>
      <c r="B369" t="s">
        <v>381</v>
      </c>
      <c r="C369" t="s">
        <v>8</v>
      </c>
      <c r="D369"/>
    </row>
    <row r="370" spans="1:4" hidden="1">
      <c r="A370" t="s">
        <v>318</v>
      </c>
      <c r="B370" t="s">
        <v>382</v>
      </c>
      <c r="C370" t="s">
        <v>8</v>
      </c>
      <c r="D370"/>
    </row>
    <row r="371" spans="1:4" hidden="1">
      <c r="A371" t="s">
        <v>318</v>
      </c>
      <c r="B371" t="s">
        <v>383</v>
      </c>
      <c r="C371" t="s">
        <v>8</v>
      </c>
      <c r="D371"/>
    </row>
    <row r="372" spans="1:4" hidden="1">
      <c r="A372" t="s">
        <v>318</v>
      </c>
      <c r="B372" t="s">
        <v>384</v>
      </c>
      <c r="C372" t="s">
        <v>8</v>
      </c>
      <c r="D372"/>
    </row>
    <row r="373" spans="1:4" hidden="1">
      <c r="A373" t="s">
        <v>318</v>
      </c>
      <c r="B373" t="s">
        <v>385</v>
      </c>
      <c r="C373" t="s">
        <v>8</v>
      </c>
      <c r="D373"/>
    </row>
    <row r="374" spans="1:4" hidden="1">
      <c r="A374" t="s">
        <v>318</v>
      </c>
      <c r="B374" t="s">
        <v>386</v>
      </c>
      <c r="C374" t="s">
        <v>8</v>
      </c>
      <c r="D374"/>
    </row>
    <row r="375" spans="1:4" hidden="1">
      <c r="A375" t="s">
        <v>318</v>
      </c>
      <c r="B375" t="s">
        <v>387</v>
      </c>
      <c r="C375" t="s">
        <v>8</v>
      </c>
      <c r="D375"/>
    </row>
    <row r="376" spans="1:4" hidden="1">
      <c r="A376" t="s">
        <v>318</v>
      </c>
      <c r="B376" t="s">
        <v>388</v>
      </c>
      <c r="C376" t="s">
        <v>8</v>
      </c>
      <c r="D376"/>
    </row>
    <row r="377" spans="1:4" hidden="1">
      <c r="A377" t="s">
        <v>318</v>
      </c>
      <c r="B377" t="s">
        <v>389</v>
      </c>
      <c r="C377" t="s">
        <v>8</v>
      </c>
      <c r="D377"/>
    </row>
    <row r="378" spans="1:4" hidden="1">
      <c r="A378" t="s">
        <v>318</v>
      </c>
      <c r="B378" t="s">
        <v>390</v>
      </c>
      <c r="C378" t="s">
        <v>8</v>
      </c>
      <c r="D378"/>
    </row>
    <row r="379" spans="1:4" hidden="1">
      <c r="A379" t="s">
        <v>318</v>
      </c>
      <c r="B379" t="s">
        <v>391</v>
      </c>
      <c r="C379" t="s">
        <v>8</v>
      </c>
      <c r="D379"/>
    </row>
    <row r="380" spans="1:4" hidden="1">
      <c r="A380" t="s">
        <v>318</v>
      </c>
      <c r="B380" t="s">
        <v>392</v>
      </c>
      <c r="C380" t="s">
        <v>8</v>
      </c>
      <c r="D380"/>
    </row>
    <row r="381" spans="1:4" hidden="1">
      <c r="A381" t="s">
        <v>318</v>
      </c>
      <c r="B381" t="s">
        <v>393</v>
      </c>
      <c r="C381" t="s">
        <v>8</v>
      </c>
      <c r="D381"/>
    </row>
    <row r="382" spans="1:4" hidden="1">
      <c r="A382" t="s">
        <v>318</v>
      </c>
      <c r="B382" t="s">
        <v>394</v>
      </c>
      <c r="C382" t="s">
        <v>8</v>
      </c>
      <c r="D382"/>
    </row>
    <row r="383" spans="1:4" hidden="1">
      <c r="A383" t="s">
        <v>318</v>
      </c>
      <c r="B383" t="s">
        <v>395</v>
      </c>
      <c r="C383" t="s">
        <v>8</v>
      </c>
      <c r="D383"/>
    </row>
    <row r="384" spans="1:4" hidden="1">
      <c r="A384" t="s">
        <v>318</v>
      </c>
      <c r="B384" t="s">
        <v>396</v>
      </c>
      <c r="C384" t="s">
        <v>8</v>
      </c>
      <c r="D384"/>
    </row>
    <row r="385" spans="1:4" hidden="1">
      <c r="A385" t="s">
        <v>318</v>
      </c>
      <c r="B385" t="s">
        <v>397</v>
      </c>
      <c r="C385" t="s">
        <v>8</v>
      </c>
      <c r="D385"/>
    </row>
    <row r="386" spans="1:4" hidden="1">
      <c r="A386" t="s">
        <v>318</v>
      </c>
      <c r="B386" t="s">
        <v>398</v>
      </c>
      <c r="C386" t="s">
        <v>8</v>
      </c>
      <c r="D386"/>
    </row>
    <row r="387" spans="1:4" hidden="1">
      <c r="A387" t="s">
        <v>318</v>
      </c>
      <c r="B387" t="s">
        <v>399</v>
      </c>
      <c r="C387" t="s">
        <v>8</v>
      </c>
      <c r="D387"/>
    </row>
    <row r="388" spans="1:4" hidden="1">
      <c r="A388" t="s">
        <v>318</v>
      </c>
      <c r="B388" t="s">
        <v>400</v>
      </c>
      <c r="C388" t="s">
        <v>8</v>
      </c>
      <c r="D388"/>
    </row>
    <row r="389" spans="1:4" hidden="1">
      <c r="A389" t="s">
        <v>318</v>
      </c>
      <c r="B389" t="s">
        <v>401</v>
      </c>
      <c r="C389" t="s">
        <v>8</v>
      </c>
      <c r="D389"/>
    </row>
    <row r="390" spans="1:4" hidden="1">
      <c r="A390" t="s">
        <v>318</v>
      </c>
      <c r="B390" t="s">
        <v>402</v>
      </c>
      <c r="C390" t="s">
        <v>8</v>
      </c>
      <c r="D390"/>
    </row>
    <row r="391" spans="1:4" hidden="1">
      <c r="A391" t="s">
        <v>318</v>
      </c>
      <c r="B391" t="s">
        <v>403</v>
      </c>
      <c r="C391" t="s">
        <v>8</v>
      </c>
      <c r="D391"/>
    </row>
    <row r="392" spans="1:4" hidden="1">
      <c r="A392" t="s">
        <v>318</v>
      </c>
      <c r="B392" t="s">
        <v>404</v>
      </c>
      <c r="C392" t="s">
        <v>8</v>
      </c>
      <c r="D392"/>
    </row>
    <row r="393" spans="1:4" hidden="1">
      <c r="A393" t="s">
        <v>318</v>
      </c>
      <c r="B393" t="s">
        <v>405</v>
      </c>
      <c r="C393" t="s">
        <v>8</v>
      </c>
      <c r="D393"/>
    </row>
    <row r="394" spans="1:4" hidden="1">
      <c r="A394" t="s">
        <v>318</v>
      </c>
      <c r="B394" t="s">
        <v>406</v>
      </c>
      <c r="C394" t="s">
        <v>8</v>
      </c>
      <c r="D394"/>
    </row>
    <row r="395" spans="1:4" hidden="1">
      <c r="A395" t="s">
        <v>318</v>
      </c>
      <c r="B395" t="s">
        <v>407</v>
      </c>
      <c r="C395" t="s">
        <v>8</v>
      </c>
      <c r="D395"/>
    </row>
    <row r="396" spans="1:4" hidden="1">
      <c r="A396" t="s">
        <v>318</v>
      </c>
      <c r="B396" t="s">
        <v>408</v>
      </c>
      <c r="C396" t="s">
        <v>8</v>
      </c>
      <c r="D396"/>
    </row>
    <row r="397" spans="1:4" hidden="1">
      <c r="A397" t="s">
        <v>318</v>
      </c>
      <c r="B397" t="s">
        <v>409</v>
      </c>
      <c r="C397" t="s">
        <v>8</v>
      </c>
      <c r="D397"/>
    </row>
    <row r="398" spans="1:4" hidden="1">
      <c r="A398" t="s">
        <v>318</v>
      </c>
      <c r="B398" t="s">
        <v>410</v>
      </c>
      <c r="C398" t="s">
        <v>8</v>
      </c>
      <c r="D398"/>
    </row>
    <row r="399" spans="1:4" hidden="1">
      <c r="A399" t="s">
        <v>318</v>
      </c>
      <c r="B399" t="s">
        <v>411</v>
      </c>
      <c r="C399" t="s">
        <v>8</v>
      </c>
      <c r="D399"/>
    </row>
    <row r="400" spans="1:4" hidden="1">
      <c r="A400" t="s">
        <v>318</v>
      </c>
      <c r="B400" t="s">
        <v>412</v>
      </c>
      <c r="C400" t="s">
        <v>8</v>
      </c>
      <c r="D400"/>
    </row>
    <row r="401" spans="1:4" hidden="1">
      <c r="A401" t="s">
        <v>318</v>
      </c>
      <c r="B401" t="s">
        <v>413</v>
      </c>
      <c r="C401" t="s">
        <v>8</v>
      </c>
      <c r="D401"/>
    </row>
    <row r="402" spans="1:4" hidden="1">
      <c r="A402" t="s">
        <v>318</v>
      </c>
      <c r="B402" t="s">
        <v>414</v>
      </c>
      <c r="C402" t="s">
        <v>8</v>
      </c>
      <c r="D402"/>
    </row>
    <row r="403" spans="1:4" hidden="1">
      <c r="A403" t="s">
        <v>318</v>
      </c>
      <c r="B403" t="s">
        <v>415</v>
      </c>
      <c r="C403" t="s">
        <v>8</v>
      </c>
      <c r="D403"/>
    </row>
    <row r="404" spans="1:4" hidden="1">
      <c r="A404" t="s">
        <v>318</v>
      </c>
      <c r="B404" t="s">
        <v>416</v>
      </c>
      <c r="C404" t="s">
        <v>8</v>
      </c>
      <c r="D404"/>
    </row>
    <row r="405" spans="1:4" hidden="1">
      <c r="A405" t="s">
        <v>318</v>
      </c>
      <c r="B405" t="s">
        <v>417</v>
      </c>
      <c r="C405" t="s">
        <v>8</v>
      </c>
      <c r="D405"/>
    </row>
    <row r="406" spans="1:4" hidden="1">
      <c r="A406" t="s">
        <v>318</v>
      </c>
      <c r="B406" t="s">
        <v>418</v>
      </c>
      <c r="C406" t="s">
        <v>8</v>
      </c>
      <c r="D406"/>
    </row>
    <row r="407" spans="1:4" hidden="1">
      <c r="A407" t="s">
        <v>318</v>
      </c>
      <c r="B407" t="s">
        <v>419</v>
      </c>
      <c r="C407" t="s">
        <v>8</v>
      </c>
      <c r="D407"/>
    </row>
    <row r="408" spans="1:4" hidden="1">
      <c r="A408" t="s">
        <v>318</v>
      </c>
      <c r="B408" t="s">
        <v>420</v>
      </c>
      <c r="C408" t="s">
        <v>8</v>
      </c>
      <c r="D408"/>
    </row>
    <row r="409" spans="1:4" hidden="1">
      <c r="A409" t="s">
        <v>318</v>
      </c>
      <c r="B409" t="s">
        <v>421</v>
      </c>
      <c r="C409" t="s">
        <v>8</v>
      </c>
      <c r="D409"/>
    </row>
    <row r="410" spans="1:4" hidden="1">
      <c r="A410" t="s">
        <v>318</v>
      </c>
      <c r="B410" t="s">
        <v>422</v>
      </c>
      <c r="C410" t="s">
        <v>8</v>
      </c>
      <c r="D410"/>
    </row>
    <row r="411" spans="1:4" hidden="1">
      <c r="A411" t="s">
        <v>318</v>
      </c>
      <c r="B411" t="s">
        <v>423</v>
      </c>
      <c r="C411" t="s">
        <v>8</v>
      </c>
      <c r="D411"/>
    </row>
    <row r="412" spans="1:4" hidden="1">
      <c r="A412" t="s">
        <v>318</v>
      </c>
      <c r="B412" t="s">
        <v>424</v>
      </c>
      <c r="C412" t="s">
        <v>8</v>
      </c>
      <c r="D412"/>
    </row>
    <row r="413" spans="1:4" hidden="1">
      <c r="A413" t="s">
        <v>318</v>
      </c>
      <c r="B413" t="s">
        <v>425</v>
      </c>
      <c r="C413" t="s">
        <v>8</v>
      </c>
      <c r="D413"/>
    </row>
    <row r="414" spans="1:4" hidden="1">
      <c r="A414" t="s">
        <v>318</v>
      </c>
      <c r="B414" t="s">
        <v>426</v>
      </c>
      <c r="C414" t="s">
        <v>8</v>
      </c>
      <c r="D414"/>
    </row>
    <row r="415" spans="1:4" hidden="1">
      <c r="A415" t="s">
        <v>318</v>
      </c>
      <c r="B415" t="s">
        <v>427</v>
      </c>
      <c r="C415" t="s">
        <v>8</v>
      </c>
      <c r="D415"/>
    </row>
    <row r="416" spans="1:4" hidden="1">
      <c r="A416" t="s">
        <v>318</v>
      </c>
      <c r="B416" t="s">
        <v>428</v>
      </c>
      <c r="C416" t="s">
        <v>8</v>
      </c>
      <c r="D416"/>
    </row>
    <row r="417" spans="1:4" hidden="1">
      <c r="A417" t="s">
        <v>318</v>
      </c>
      <c r="B417" t="s">
        <v>429</v>
      </c>
      <c r="C417" t="s">
        <v>8</v>
      </c>
      <c r="D417"/>
    </row>
    <row r="418" spans="1:4" hidden="1">
      <c r="A418" t="s">
        <v>318</v>
      </c>
      <c r="B418" t="s">
        <v>430</v>
      </c>
      <c r="C418" t="s">
        <v>8</v>
      </c>
      <c r="D418"/>
    </row>
    <row r="419" spans="1:4" hidden="1">
      <c r="A419" t="s">
        <v>318</v>
      </c>
      <c r="B419" t="s">
        <v>431</v>
      </c>
      <c r="C419" t="s">
        <v>8</v>
      </c>
      <c r="D419"/>
    </row>
    <row r="420" spans="1:4" hidden="1">
      <c r="A420" t="s">
        <v>318</v>
      </c>
      <c r="B420" t="s">
        <v>432</v>
      </c>
      <c r="C420" t="s">
        <v>8</v>
      </c>
      <c r="D420"/>
    </row>
    <row r="421" spans="1:4" hidden="1">
      <c r="A421" t="s">
        <v>318</v>
      </c>
      <c r="B421" t="s">
        <v>433</v>
      </c>
      <c r="C421" t="s">
        <v>8</v>
      </c>
      <c r="D421"/>
    </row>
    <row r="422" spans="1:4" hidden="1">
      <c r="A422" t="s">
        <v>318</v>
      </c>
      <c r="B422" t="s">
        <v>434</v>
      </c>
      <c r="C422" t="s">
        <v>8</v>
      </c>
      <c r="D422"/>
    </row>
    <row r="423" spans="1:4" hidden="1">
      <c r="A423" t="s">
        <v>318</v>
      </c>
      <c r="B423" t="s">
        <v>435</v>
      </c>
      <c r="C423" t="s">
        <v>8</v>
      </c>
      <c r="D423"/>
    </row>
    <row r="424" spans="1:4" hidden="1">
      <c r="A424" t="s">
        <v>318</v>
      </c>
      <c r="B424" t="s">
        <v>436</v>
      </c>
      <c r="C424" t="s">
        <v>8</v>
      </c>
      <c r="D424"/>
    </row>
    <row r="425" spans="1:4" hidden="1">
      <c r="A425" t="s">
        <v>318</v>
      </c>
      <c r="B425" t="s">
        <v>437</v>
      </c>
      <c r="C425" t="s">
        <v>8</v>
      </c>
      <c r="D425"/>
    </row>
    <row r="426" spans="1:4" hidden="1">
      <c r="A426" t="s">
        <v>318</v>
      </c>
      <c r="B426" t="s">
        <v>438</v>
      </c>
      <c r="C426" t="s">
        <v>8</v>
      </c>
      <c r="D426"/>
    </row>
    <row r="427" spans="1:4" hidden="1">
      <c r="A427" t="s">
        <v>318</v>
      </c>
      <c r="B427" t="s">
        <v>439</v>
      </c>
      <c r="C427" t="s">
        <v>8</v>
      </c>
      <c r="D427"/>
    </row>
    <row r="428" spans="1:4" hidden="1">
      <c r="A428" t="s">
        <v>318</v>
      </c>
      <c r="B428" t="s">
        <v>440</v>
      </c>
      <c r="C428" t="s">
        <v>8</v>
      </c>
      <c r="D428"/>
    </row>
    <row r="429" spans="1:4" hidden="1">
      <c r="A429" t="s">
        <v>318</v>
      </c>
      <c r="B429" t="s">
        <v>441</v>
      </c>
      <c r="C429" t="s">
        <v>8</v>
      </c>
      <c r="D429"/>
    </row>
    <row r="430" spans="1:4" hidden="1">
      <c r="A430" t="s">
        <v>318</v>
      </c>
      <c r="B430" t="s">
        <v>442</v>
      </c>
      <c r="C430" t="s">
        <v>8</v>
      </c>
      <c r="D430"/>
    </row>
    <row r="431" spans="1:4" hidden="1">
      <c r="A431" t="s">
        <v>318</v>
      </c>
      <c r="B431" t="s">
        <v>443</v>
      </c>
      <c r="C431" t="s">
        <v>8</v>
      </c>
      <c r="D431"/>
    </row>
    <row r="432" spans="1:4" hidden="1">
      <c r="A432" t="s">
        <v>318</v>
      </c>
      <c r="B432" t="s">
        <v>444</v>
      </c>
      <c r="C432" t="s">
        <v>8</v>
      </c>
      <c r="D432"/>
    </row>
    <row r="433" spans="1:4" hidden="1">
      <c r="A433" t="s">
        <v>318</v>
      </c>
      <c r="B433" t="s">
        <v>445</v>
      </c>
      <c r="C433" t="s">
        <v>8</v>
      </c>
      <c r="D433"/>
    </row>
    <row r="434" spans="1:4" hidden="1">
      <c r="A434" t="s">
        <v>318</v>
      </c>
      <c r="B434" t="s">
        <v>446</v>
      </c>
      <c r="C434" t="s">
        <v>8</v>
      </c>
      <c r="D434"/>
    </row>
    <row r="435" spans="1:4" hidden="1">
      <c r="A435" t="s">
        <v>318</v>
      </c>
      <c r="B435" t="s">
        <v>447</v>
      </c>
      <c r="C435" t="s">
        <v>8</v>
      </c>
      <c r="D435"/>
    </row>
    <row r="436" spans="1:4" hidden="1">
      <c r="A436" t="s">
        <v>318</v>
      </c>
      <c r="B436" t="s">
        <v>448</v>
      </c>
      <c r="C436" t="s">
        <v>8</v>
      </c>
      <c r="D436"/>
    </row>
    <row r="437" spans="1:4" hidden="1">
      <c r="A437" t="s">
        <v>318</v>
      </c>
      <c r="B437" t="s">
        <v>449</v>
      </c>
      <c r="C437" t="s">
        <v>8</v>
      </c>
      <c r="D437"/>
    </row>
    <row r="438" spans="1:4" hidden="1">
      <c r="A438" t="s">
        <v>318</v>
      </c>
      <c r="B438" t="s">
        <v>450</v>
      </c>
      <c r="C438" t="s">
        <v>8</v>
      </c>
      <c r="D438"/>
    </row>
    <row r="439" spans="1:4" hidden="1">
      <c r="A439" t="s">
        <v>318</v>
      </c>
      <c r="B439" t="s">
        <v>451</v>
      </c>
      <c r="C439" t="s">
        <v>8</v>
      </c>
      <c r="D439"/>
    </row>
    <row r="440" spans="1:4" hidden="1">
      <c r="A440" t="s">
        <v>318</v>
      </c>
      <c r="B440" t="s">
        <v>452</v>
      </c>
      <c r="C440" t="s">
        <v>8</v>
      </c>
      <c r="D440"/>
    </row>
    <row r="441" spans="1:4" hidden="1">
      <c r="A441" t="s">
        <v>318</v>
      </c>
      <c r="B441" t="s">
        <v>453</v>
      </c>
      <c r="C441" t="s">
        <v>8</v>
      </c>
      <c r="D441"/>
    </row>
    <row r="442" spans="1:4" hidden="1">
      <c r="A442" t="s">
        <v>318</v>
      </c>
      <c r="B442" t="s">
        <v>454</v>
      </c>
      <c r="C442" t="s">
        <v>8</v>
      </c>
      <c r="D442"/>
    </row>
    <row r="443" spans="1:4" hidden="1">
      <c r="A443" t="s">
        <v>318</v>
      </c>
      <c r="B443" t="s">
        <v>455</v>
      </c>
      <c r="C443" t="s">
        <v>8</v>
      </c>
      <c r="D443"/>
    </row>
    <row r="444" spans="1:4" hidden="1">
      <c r="A444" t="s">
        <v>318</v>
      </c>
      <c r="B444" t="s">
        <v>456</v>
      </c>
      <c r="C444" t="s">
        <v>8</v>
      </c>
      <c r="D444"/>
    </row>
    <row r="445" spans="1:4" hidden="1">
      <c r="A445" t="s">
        <v>318</v>
      </c>
      <c r="B445" t="s">
        <v>457</v>
      </c>
      <c r="C445" t="s">
        <v>8</v>
      </c>
      <c r="D445"/>
    </row>
    <row r="446" spans="1:4" hidden="1">
      <c r="A446" t="s">
        <v>318</v>
      </c>
      <c r="B446" t="s">
        <v>458</v>
      </c>
      <c r="C446" t="s">
        <v>8</v>
      </c>
      <c r="D446"/>
    </row>
    <row r="447" spans="1:4" hidden="1">
      <c r="A447" t="s">
        <v>318</v>
      </c>
      <c r="B447" t="s">
        <v>459</v>
      </c>
      <c r="C447" t="s">
        <v>8</v>
      </c>
      <c r="D447"/>
    </row>
    <row r="448" spans="1:4" hidden="1">
      <c r="A448" t="s">
        <v>318</v>
      </c>
      <c r="B448" t="s">
        <v>460</v>
      </c>
      <c r="C448" t="s">
        <v>8</v>
      </c>
      <c r="D448"/>
    </row>
    <row r="449" spans="1:4" hidden="1">
      <c r="A449" t="s">
        <v>318</v>
      </c>
      <c r="B449" t="s">
        <v>461</v>
      </c>
      <c r="C449" t="s">
        <v>8</v>
      </c>
      <c r="D449"/>
    </row>
    <row r="450" spans="1:4" hidden="1">
      <c r="A450" t="s">
        <v>318</v>
      </c>
      <c r="B450" t="s">
        <v>462</v>
      </c>
      <c r="C450" t="s">
        <v>8</v>
      </c>
      <c r="D450"/>
    </row>
    <row r="451" spans="1:4" hidden="1">
      <c r="A451" t="s">
        <v>318</v>
      </c>
      <c r="B451" t="s">
        <v>463</v>
      </c>
      <c r="C451" t="s">
        <v>8</v>
      </c>
      <c r="D451"/>
    </row>
    <row r="452" spans="1:4" hidden="1">
      <c r="A452" t="s">
        <v>318</v>
      </c>
      <c r="B452" t="s">
        <v>464</v>
      </c>
      <c r="C452" t="s">
        <v>8</v>
      </c>
      <c r="D452"/>
    </row>
    <row r="453" spans="1:4" hidden="1">
      <c r="A453" t="s">
        <v>318</v>
      </c>
      <c r="B453" t="s">
        <v>465</v>
      </c>
      <c r="C453" t="s">
        <v>8</v>
      </c>
      <c r="D453"/>
    </row>
    <row r="454" spans="1:4" hidden="1">
      <c r="A454" t="s">
        <v>318</v>
      </c>
      <c r="B454" t="s">
        <v>466</v>
      </c>
      <c r="C454" t="s">
        <v>8</v>
      </c>
      <c r="D454"/>
    </row>
    <row r="455" spans="1:4" hidden="1">
      <c r="A455" t="s">
        <v>318</v>
      </c>
      <c r="B455" t="s">
        <v>467</v>
      </c>
      <c r="C455" t="s">
        <v>8</v>
      </c>
      <c r="D455"/>
    </row>
    <row r="456" spans="1:4" hidden="1">
      <c r="A456" t="s">
        <v>318</v>
      </c>
      <c r="B456" t="s">
        <v>468</v>
      </c>
      <c r="C456" t="s">
        <v>8</v>
      </c>
      <c r="D456"/>
    </row>
    <row r="457" spans="1:4" hidden="1">
      <c r="A457" t="s">
        <v>318</v>
      </c>
      <c r="B457" t="s">
        <v>469</v>
      </c>
      <c r="C457" t="s">
        <v>8</v>
      </c>
      <c r="D457"/>
    </row>
    <row r="458" spans="1:4" hidden="1">
      <c r="A458" t="s">
        <v>318</v>
      </c>
      <c r="B458" t="s">
        <v>470</v>
      </c>
      <c r="C458" t="s">
        <v>8</v>
      </c>
      <c r="D458"/>
    </row>
    <row r="459" spans="1:4" hidden="1">
      <c r="A459" t="s">
        <v>318</v>
      </c>
      <c r="B459" t="s">
        <v>471</v>
      </c>
      <c r="C459" t="s">
        <v>8</v>
      </c>
      <c r="D459"/>
    </row>
    <row r="460" spans="1:4" hidden="1">
      <c r="A460" t="s">
        <v>318</v>
      </c>
      <c r="B460" t="s">
        <v>472</v>
      </c>
      <c r="C460" t="s">
        <v>8</v>
      </c>
      <c r="D460"/>
    </row>
    <row r="461" spans="1:4" hidden="1">
      <c r="A461" t="s">
        <v>318</v>
      </c>
      <c r="B461" t="s">
        <v>473</v>
      </c>
      <c r="C461" t="s">
        <v>8</v>
      </c>
      <c r="D461"/>
    </row>
    <row r="462" spans="1:4" hidden="1">
      <c r="A462" t="s">
        <v>318</v>
      </c>
      <c r="B462" t="s">
        <v>474</v>
      </c>
      <c r="C462" t="s">
        <v>8</v>
      </c>
      <c r="D462"/>
    </row>
    <row r="463" spans="1:4" hidden="1">
      <c r="A463" t="s">
        <v>318</v>
      </c>
      <c r="B463" t="s">
        <v>475</v>
      </c>
      <c r="C463" t="s">
        <v>8</v>
      </c>
      <c r="D463"/>
    </row>
    <row r="464" spans="1:4" hidden="1">
      <c r="A464" t="s">
        <v>318</v>
      </c>
      <c r="B464" t="s">
        <v>476</v>
      </c>
      <c r="C464" t="s">
        <v>8</v>
      </c>
      <c r="D464"/>
    </row>
    <row r="465" spans="1:4" hidden="1">
      <c r="A465" t="s">
        <v>318</v>
      </c>
      <c r="B465" t="s">
        <v>477</v>
      </c>
      <c r="C465" t="s">
        <v>8</v>
      </c>
      <c r="D465"/>
    </row>
    <row r="466" spans="1:4" hidden="1">
      <c r="A466" t="s">
        <v>318</v>
      </c>
      <c r="B466" t="s">
        <v>478</v>
      </c>
      <c r="C466" t="s">
        <v>8</v>
      </c>
      <c r="D466"/>
    </row>
    <row r="467" spans="1:4" hidden="1">
      <c r="A467" t="s">
        <v>318</v>
      </c>
      <c r="B467" t="s">
        <v>479</v>
      </c>
      <c r="C467" t="s">
        <v>8</v>
      </c>
      <c r="D467"/>
    </row>
    <row r="468" spans="1:4" hidden="1">
      <c r="A468" t="s">
        <v>318</v>
      </c>
      <c r="B468" t="s">
        <v>480</v>
      </c>
      <c r="C468" t="s">
        <v>8</v>
      </c>
      <c r="D468"/>
    </row>
    <row r="469" spans="1:4" hidden="1">
      <c r="A469" t="s">
        <v>318</v>
      </c>
      <c r="B469" t="s">
        <v>481</v>
      </c>
      <c r="C469" t="s">
        <v>8</v>
      </c>
      <c r="D469"/>
    </row>
    <row r="470" spans="1:4" hidden="1">
      <c r="A470" t="s">
        <v>318</v>
      </c>
      <c r="B470" t="s">
        <v>482</v>
      </c>
      <c r="C470" t="s">
        <v>8</v>
      </c>
      <c r="D470"/>
    </row>
    <row r="471" spans="1:4" hidden="1">
      <c r="A471" t="s">
        <v>318</v>
      </c>
      <c r="B471" t="s">
        <v>483</v>
      </c>
      <c r="C471" t="s">
        <v>8</v>
      </c>
      <c r="D471"/>
    </row>
    <row r="472" spans="1:4" hidden="1">
      <c r="A472" t="s">
        <v>318</v>
      </c>
      <c r="B472" t="s">
        <v>484</v>
      </c>
      <c r="C472" t="s">
        <v>8</v>
      </c>
      <c r="D472"/>
    </row>
    <row r="473" spans="1:4" hidden="1">
      <c r="A473" t="s">
        <v>318</v>
      </c>
      <c r="B473" t="s">
        <v>485</v>
      </c>
      <c r="C473" t="s">
        <v>8</v>
      </c>
      <c r="D473"/>
    </row>
    <row r="474" spans="1:4" hidden="1">
      <c r="A474" t="s">
        <v>318</v>
      </c>
      <c r="B474" t="s">
        <v>486</v>
      </c>
      <c r="C474" t="s">
        <v>8</v>
      </c>
      <c r="D474"/>
    </row>
    <row r="475" spans="1:4" hidden="1">
      <c r="A475" t="s">
        <v>318</v>
      </c>
      <c r="B475" t="s">
        <v>487</v>
      </c>
      <c r="C475" t="s">
        <v>8</v>
      </c>
      <c r="D475"/>
    </row>
    <row r="476" spans="1:4" hidden="1">
      <c r="A476" t="s">
        <v>318</v>
      </c>
      <c r="B476" t="s">
        <v>488</v>
      </c>
      <c r="C476" t="s">
        <v>8</v>
      </c>
      <c r="D476"/>
    </row>
    <row r="477" spans="1:4" hidden="1">
      <c r="A477" t="s">
        <v>318</v>
      </c>
      <c r="B477" t="s">
        <v>489</v>
      </c>
      <c r="C477" t="s">
        <v>8</v>
      </c>
      <c r="D477"/>
    </row>
    <row r="478" spans="1:4" hidden="1">
      <c r="A478" t="s">
        <v>318</v>
      </c>
      <c r="B478" t="s">
        <v>490</v>
      </c>
      <c r="C478" t="s">
        <v>8</v>
      </c>
      <c r="D478"/>
    </row>
    <row r="479" spans="1:4" hidden="1">
      <c r="A479" t="s">
        <v>318</v>
      </c>
      <c r="B479" t="s">
        <v>491</v>
      </c>
      <c r="C479" t="s">
        <v>8</v>
      </c>
      <c r="D479"/>
    </row>
    <row r="480" spans="1:4" hidden="1">
      <c r="A480" t="s">
        <v>318</v>
      </c>
      <c r="B480" t="s">
        <v>492</v>
      </c>
      <c r="C480" t="s">
        <v>8</v>
      </c>
      <c r="D480"/>
    </row>
    <row r="481" spans="1:4" hidden="1">
      <c r="A481" t="s">
        <v>318</v>
      </c>
      <c r="B481" t="s">
        <v>493</v>
      </c>
      <c r="C481" t="s">
        <v>8</v>
      </c>
      <c r="D481"/>
    </row>
    <row r="482" spans="1:4" hidden="1">
      <c r="A482" t="s">
        <v>318</v>
      </c>
      <c r="B482" t="s">
        <v>494</v>
      </c>
      <c r="C482" t="s">
        <v>8</v>
      </c>
      <c r="D482"/>
    </row>
    <row r="483" spans="1:4" hidden="1">
      <c r="A483" t="s">
        <v>318</v>
      </c>
      <c r="B483" t="s">
        <v>495</v>
      </c>
      <c r="C483" t="s">
        <v>8</v>
      </c>
      <c r="D483"/>
    </row>
    <row r="484" spans="1:4" hidden="1">
      <c r="A484" t="s">
        <v>318</v>
      </c>
      <c r="B484" t="s">
        <v>496</v>
      </c>
      <c r="C484" t="s">
        <v>8</v>
      </c>
      <c r="D484"/>
    </row>
    <row r="485" spans="1:4" hidden="1">
      <c r="A485" t="s">
        <v>318</v>
      </c>
      <c r="B485" t="s">
        <v>497</v>
      </c>
      <c r="C485" t="s">
        <v>8</v>
      </c>
      <c r="D485"/>
    </row>
    <row r="486" spans="1:4" hidden="1">
      <c r="A486" t="s">
        <v>318</v>
      </c>
      <c r="B486" t="s">
        <v>498</v>
      </c>
      <c r="C486" t="s">
        <v>8</v>
      </c>
      <c r="D486"/>
    </row>
    <row r="487" spans="1:4" hidden="1">
      <c r="A487" t="s">
        <v>318</v>
      </c>
      <c r="B487" t="s">
        <v>499</v>
      </c>
      <c r="C487" t="s">
        <v>8</v>
      </c>
      <c r="D487"/>
    </row>
    <row r="488" spans="1:4" hidden="1">
      <c r="A488" t="s">
        <v>318</v>
      </c>
      <c r="B488" t="s">
        <v>500</v>
      </c>
      <c r="C488" t="s">
        <v>8</v>
      </c>
      <c r="D488"/>
    </row>
    <row r="489" spans="1:4" hidden="1">
      <c r="A489" t="s">
        <v>318</v>
      </c>
      <c r="B489" t="s">
        <v>501</v>
      </c>
      <c r="C489" t="s">
        <v>8</v>
      </c>
      <c r="D489"/>
    </row>
    <row r="490" spans="1:4" hidden="1">
      <c r="A490" t="s">
        <v>318</v>
      </c>
      <c r="B490" t="s">
        <v>502</v>
      </c>
      <c r="C490" t="s">
        <v>8</v>
      </c>
      <c r="D490"/>
    </row>
    <row r="491" spans="1:4" hidden="1">
      <c r="A491" t="s">
        <v>318</v>
      </c>
      <c r="B491" t="s">
        <v>503</v>
      </c>
      <c r="C491" t="s">
        <v>8</v>
      </c>
      <c r="D491"/>
    </row>
    <row r="492" spans="1:4" hidden="1">
      <c r="A492" t="s">
        <v>318</v>
      </c>
      <c r="B492" t="s">
        <v>504</v>
      </c>
      <c r="C492" t="s">
        <v>8</v>
      </c>
      <c r="D492"/>
    </row>
    <row r="493" spans="1:4" hidden="1">
      <c r="A493" t="s">
        <v>318</v>
      </c>
      <c r="B493" t="s">
        <v>505</v>
      </c>
      <c r="C493" t="s">
        <v>8</v>
      </c>
      <c r="D493"/>
    </row>
    <row r="494" spans="1:4" hidden="1">
      <c r="A494" t="s">
        <v>318</v>
      </c>
      <c r="B494" t="s">
        <v>506</v>
      </c>
      <c r="C494" t="s">
        <v>8</v>
      </c>
      <c r="D494"/>
    </row>
    <row r="495" spans="1:4" hidden="1">
      <c r="A495" t="s">
        <v>318</v>
      </c>
      <c r="B495" t="s">
        <v>507</v>
      </c>
      <c r="C495" t="s">
        <v>8</v>
      </c>
      <c r="D495"/>
    </row>
    <row r="496" spans="1:4" hidden="1">
      <c r="A496" t="s">
        <v>318</v>
      </c>
      <c r="B496" t="s">
        <v>508</v>
      </c>
      <c r="C496" t="s">
        <v>8</v>
      </c>
      <c r="D496"/>
    </row>
    <row r="497" spans="1:4" hidden="1">
      <c r="A497" t="s">
        <v>318</v>
      </c>
      <c r="B497" t="s">
        <v>509</v>
      </c>
      <c r="C497" t="s">
        <v>8</v>
      </c>
      <c r="D497"/>
    </row>
    <row r="498" spans="1:4" hidden="1">
      <c r="A498" t="s">
        <v>318</v>
      </c>
      <c r="B498" t="s">
        <v>510</v>
      </c>
      <c r="C498" t="s">
        <v>8</v>
      </c>
      <c r="D498"/>
    </row>
    <row r="499" spans="1:4" hidden="1">
      <c r="A499" t="s">
        <v>318</v>
      </c>
      <c r="B499" t="s">
        <v>511</v>
      </c>
      <c r="C499" t="s">
        <v>8</v>
      </c>
      <c r="D499"/>
    </row>
    <row r="500" spans="1:4" hidden="1">
      <c r="A500" t="s">
        <v>318</v>
      </c>
      <c r="B500" t="s">
        <v>512</v>
      </c>
      <c r="C500" t="s">
        <v>8</v>
      </c>
      <c r="D500"/>
    </row>
    <row r="501" spans="1:4" hidden="1">
      <c r="A501" t="s">
        <v>318</v>
      </c>
      <c r="B501" t="s">
        <v>513</v>
      </c>
      <c r="C501" t="s">
        <v>8</v>
      </c>
      <c r="D501"/>
    </row>
    <row r="502" spans="1:4" hidden="1">
      <c r="A502" t="s">
        <v>318</v>
      </c>
      <c r="B502" t="s">
        <v>514</v>
      </c>
      <c r="C502" t="s">
        <v>8</v>
      </c>
      <c r="D502"/>
    </row>
    <row r="503" spans="1:4" hidden="1">
      <c r="A503" t="s">
        <v>318</v>
      </c>
      <c r="B503" t="s">
        <v>515</v>
      </c>
      <c r="C503" t="s">
        <v>8</v>
      </c>
      <c r="D503"/>
    </row>
    <row r="504" spans="1:4" hidden="1">
      <c r="A504" t="s">
        <v>318</v>
      </c>
      <c r="B504" t="s">
        <v>516</v>
      </c>
      <c r="C504" t="s">
        <v>8</v>
      </c>
      <c r="D504"/>
    </row>
    <row r="505" spans="1:4" hidden="1">
      <c r="A505" t="s">
        <v>318</v>
      </c>
      <c r="B505" t="s">
        <v>517</v>
      </c>
      <c r="C505" t="s">
        <v>8</v>
      </c>
      <c r="D505"/>
    </row>
    <row r="506" spans="1:4" hidden="1">
      <c r="A506" t="s">
        <v>318</v>
      </c>
      <c r="B506" t="s">
        <v>518</v>
      </c>
      <c r="C506" t="s">
        <v>8</v>
      </c>
      <c r="D506"/>
    </row>
    <row r="507" spans="1:4" hidden="1">
      <c r="A507" t="s">
        <v>318</v>
      </c>
      <c r="B507" t="s">
        <v>519</v>
      </c>
      <c r="C507" t="s">
        <v>8</v>
      </c>
      <c r="D507"/>
    </row>
    <row r="508" spans="1:4" hidden="1">
      <c r="A508" t="s">
        <v>318</v>
      </c>
      <c r="B508" t="s">
        <v>520</v>
      </c>
      <c r="C508" t="s">
        <v>8</v>
      </c>
      <c r="D508"/>
    </row>
    <row r="509" spans="1:4" hidden="1">
      <c r="A509" t="s">
        <v>318</v>
      </c>
      <c r="B509" t="s">
        <v>521</v>
      </c>
      <c r="C509" t="s">
        <v>8</v>
      </c>
      <c r="D509"/>
    </row>
    <row r="510" spans="1:4" hidden="1">
      <c r="A510" t="s">
        <v>318</v>
      </c>
      <c r="B510" t="s">
        <v>522</v>
      </c>
      <c r="C510" t="s">
        <v>8</v>
      </c>
      <c r="D510"/>
    </row>
    <row r="511" spans="1:4" hidden="1">
      <c r="A511" t="s">
        <v>318</v>
      </c>
      <c r="B511" t="s">
        <v>523</v>
      </c>
      <c r="C511" t="s">
        <v>8</v>
      </c>
      <c r="D511"/>
    </row>
    <row r="512" spans="1:4" hidden="1">
      <c r="A512" t="s">
        <v>318</v>
      </c>
      <c r="B512" t="s">
        <v>524</v>
      </c>
      <c r="C512" t="s">
        <v>8</v>
      </c>
      <c r="D512"/>
    </row>
    <row r="513" spans="1:4" hidden="1">
      <c r="A513" t="s">
        <v>318</v>
      </c>
      <c r="B513" t="s">
        <v>525</v>
      </c>
      <c r="C513" t="s">
        <v>8</v>
      </c>
      <c r="D513"/>
    </row>
    <row r="514" spans="1:4" hidden="1">
      <c r="A514" t="s">
        <v>318</v>
      </c>
      <c r="B514" t="s">
        <v>526</v>
      </c>
      <c r="C514" t="s">
        <v>8</v>
      </c>
      <c r="D514"/>
    </row>
    <row r="515" spans="1:4" hidden="1">
      <c r="A515" t="s">
        <v>318</v>
      </c>
      <c r="B515" t="s">
        <v>527</v>
      </c>
      <c r="C515" t="s">
        <v>8</v>
      </c>
      <c r="D515"/>
    </row>
    <row r="516" spans="1:4" hidden="1">
      <c r="A516" t="s">
        <v>318</v>
      </c>
      <c r="B516" t="s">
        <v>528</v>
      </c>
      <c r="C516" t="s">
        <v>8</v>
      </c>
      <c r="D516"/>
    </row>
    <row r="517" spans="1:4" hidden="1">
      <c r="A517" t="s">
        <v>318</v>
      </c>
      <c r="B517" t="s">
        <v>529</v>
      </c>
      <c r="C517" t="s">
        <v>8</v>
      </c>
      <c r="D517"/>
    </row>
    <row r="518" spans="1:4" hidden="1">
      <c r="A518" t="s">
        <v>318</v>
      </c>
      <c r="B518" t="s">
        <v>530</v>
      </c>
      <c r="C518" t="s">
        <v>8</v>
      </c>
      <c r="D518"/>
    </row>
    <row r="519" spans="1:4" hidden="1">
      <c r="A519" t="s">
        <v>318</v>
      </c>
      <c r="B519" t="s">
        <v>531</v>
      </c>
      <c r="C519" t="s">
        <v>8</v>
      </c>
      <c r="D519"/>
    </row>
    <row r="520" spans="1:4" hidden="1">
      <c r="A520" t="s">
        <v>318</v>
      </c>
      <c r="B520" t="s">
        <v>532</v>
      </c>
      <c r="C520" t="s">
        <v>8</v>
      </c>
      <c r="D520"/>
    </row>
    <row r="521" spans="1:4" hidden="1">
      <c r="A521" t="s">
        <v>318</v>
      </c>
      <c r="B521" t="s">
        <v>533</v>
      </c>
      <c r="C521" t="s">
        <v>8</v>
      </c>
      <c r="D521"/>
    </row>
    <row r="522" spans="1:4" hidden="1">
      <c r="A522" t="s">
        <v>318</v>
      </c>
      <c r="B522" t="s">
        <v>534</v>
      </c>
      <c r="C522" t="s">
        <v>8</v>
      </c>
      <c r="D522"/>
    </row>
    <row r="523" spans="1:4" hidden="1">
      <c r="A523" t="s">
        <v>318</v>
      </c>
      <c r="B523" t="s">
        <v>535</v>
      </c>
      <c r="C523" t="s">
        <v>8</v>
      </c>
      <c r="D523"/>
    </row>
    <row r="524" spans="1:4" hidden="1">
      <c r="A524" t="s">
        <v>318</v>
      </c>
      <c r="B524" t="s">
        <v>536</v>
      </c>
      <c r="C524" t="s">
        <v>8</v>
      </c>
      <c r="D524"/>
    </row>
    <row r="525" spans="1:4" hidden="1">
      <c r="A525" t="s">
        <v>318</v>
      </c>
      <c r="B525" t="s">
        <v>537</v>
      </c>
      <c r="C525" t="s">
        <v>8</v>
      </c>
      <c r="D525"/>
    </row>
    <row r="526" spans="1:4" hidden="1">
      <c r="A526" t="s">
        <v>318</v>
      </c>
      <c r="B526" t="s">
        <v>538</v>
      </c>
      <c r="C526" t="s">
        <v>8</v>
      </c>
      <c r="D526"/>
    </row>
    <row r="527" spans="1:4" hidden="1">
      <c r="A527" t="s">
        <v>318</v>
      </c>
      <c r="B527" t="s">
        <v>539</v>
      </c>
      <c r="C527" t="s">
        <v>8</v>
      </c>
      <c r="D527"/>
    </row>
    <row r="528" spans="1:4" hidden="1">
      <c r="A528" t="s">
        <v>318</v>
      </c>
      <c r="B528" t="s">
        <v>540</v>
      </c>
      <c r="C528" t="s">
        <v>8</v>
      </c>
      <c r="D528"/>
    </row>
    <row r="529" spans="1:4" hidden="1">
      <c r="A529" t="s">
        <v>318</v>
      </c>
      <c r="B529" t="s">
        <v>541</v>
      </c>
      <c r="C529" t="s">
        <v>8</v>
      </c>
      <c r="D529"/>
    </row>
    <row r="530" spans="1:4" hidden="1">
      <c r="A530" t="s">
        <v>318</v>
      </c>
      <c r="B530" t="s">
        <v>542</v>
      </c>
      <c r="C530" t="s">
        <v>8</v>
      </c>
      <c r="D530"/>
    </row>
    <row r="531" spans="1:4" hidden="1">
      <c r="A531" t="s">
        <v>318</v>
      </c>
      <c r="B531" t="s">
        <v>543</v>
      </c>
      <c r="C531" t="s">
        <v>8</v>
      </c>
      <c r="D531"/>
    </row>
    <row r="532" spans="1:4" hidden="1">
      <c r="A532" t="s">
        <v>318</v>
      </c>
      <c r="B532" t="s">
        <v>544</v>
      </c>
      <c r="C532" t="s">
        <v>8</v>
      </c>
      <c r="D532"/>
    </row>
    <row r="533" spans="1:4" hidden="1">
      <c r="A533" t="s">
        <v>318</v>
      </c>
      <c r="B533" t="s">
        <v>545</v>
      </c>
      <c r="C533" t="s">
        <v>8</v>
      </c>
      <c r="D533"/>
    </row>
    <row r="534" spans="1:4" hidden="1">
      <c r="A534" t="s">
        <v>318</v>
      </c>
      <c r="B534" t="s">
        <v>546</v>
      </c>
      <c r="C534" t="s">
        <v>8</v>
      </c>
      <c r="D534"/>
    </row>
    <row r="535" spans="1:4" hidden="1">
      <c r="A535" t="s">
        <v>318</v>
      </c>
      <c r="B535" t="s">
        <v>547</v>
      </c>
      <c r="C535" t="s">
        <v>8</v>
      </c>
      <c r="D535"/>
    </row>
    <row r="536" spans="1:4" hidden="1">
      <c r="A536" t="s">
        <v>318</v>
      </c>
      <c r="B536" t="s">
        <v>548</v>
      </c>
      <c r="C536" t="s">
        <v>8</v>
      </c>
      <c r="D536"/>
    </row>
    <row r="537" spans="1:4" hidden="1">
      <c r="A537" t="s">
        <v>318</v>
      </c>
      <c r="B537" t="s">
        <v>549</v>
      </c>
      <c r="C537" t="s">
        <v>8</v>
      </c>
      <c r="D537"/>
    </row>
    <row r="538" spans="1:4" hidden="1">
      <c r="A538" t="s">
        <v>318</v>
      </c>
      <c r="B538" t="s">
        <v>550</v>
      </c>
      <c r="C538" t="s">
        <v>8</v>
      </c>
      <c r="D538"/>
    </row>
    <row r="539" spans="1:4" hidden="1">
      <c r="A539" t="s">
        <v>318</v>
      </c>
      <c r="B539" t="s">
        <v>551</v>
      </c>
      <c r="C539" t="s">
        <v>8</v>
      </c>
      <c r="D539"/>
    </row>
    <row r="540" spans="1:4" hidden="1">
      <c r="A540" t="s">
        <v>318</v>
      </c>
      <c r="B540" t="s">
        <v>552</v>
      </c>
      <c r="C540" t="s">
        <v>8</v>
      </c>
      <c r="D540"/>
    </row>
    <row r="541" spans="1:4" hidden="1">
      <c r="A541" t="s">
        <v>318</v>
      </c>
      <c r="B541" t="s">
        <v>553</v>
      </c>
      <c r="C541" t="s">
        <v>8</v>
      </c>
      <c r="D541"/>
    </row>
    <row r="542" spans="1:4" hidden="1">
      <c r="A542" t="s">
        <v>318</v>
      </c>
      <c r="B542" t="s">
        <v>554</v>
      </c>
      <c r="C542" t="s">
        <v>8</v>
      </c>
      <c r="D542"/>
    </row>
    <row r="543" spans="1:4" hidden="1">
      <c r="A543" t="s">
        <v>318</v>
      </c>
      <c r="B543" t="s">
        <v>555</v>
      </c>
      <c r="C543" t="s">
        <v>8</v>
      </c>
      <c r="D543"/>
    </row>
    <row r="544" spans="1:4" hidden="1">
      <c r="A544" t="s">
        <v>318</v>
      </c>
      <c r="B544" t="s">
        <v>556</v>
      </c>
      <c r="C544" t="s">
        <v>8</v>
      </c>
      <c r="D544"/>
    </row>
    <row r="545" spans="1:4" hidden="1">
      <c r="A545" t="s">
        <v>318</v>
      </c>
      <c r="B545" t="s">
        <v>557</v>
      </c>
      <c r="C545" t="s">
        <v>8</v>
      </c>
      <c r="D545"/>
    </row>
    <row r="546" spans="1:4" hidden="1">
      <c r="A546" t="s">
        <v>318</v>
      </c>
      <c r="B546" t="s">
        <v>558</v>
      </c>
      <c r="C546" t="s">
        <v>8</v>
      </c>
      <c r="D546"/>
    </row>
    <row r="547" spans="1:4" hidden="1">
      <c r="A547" t="s">
        <v>318</v>
      </c>
      <c r="B547" t="s">
        <v>559</v>
      </c>
      <c r="C547" t="s">
        <v>8</v>
      </c>
      <c r="D547"/>
    </row>
    <row r="548" spans="1:4" hidden="1">
      <c r="A548" t="s">
        <v>318</v>
      </c>
      <c r="B548" t="s">
        <v>560</v>
      </c>
      <c r="C548" t="s">
        <v>8</v>
      </c>
      <c r="D548"/>
    </row>
    <row r="549" spans="1:4" hidden="1">
      <c r="A549" t="s">
        <v>318</v>
      </c>
      <c r="B549" t="s">
        <v>561</v>
      </c>
      <c r="C549" t="s">
        <v>8</v>
      </c>
      <c r="D549"/>
    </row>
    <row r="550" spans="1:4" hidden="1">
      <c r="A550" t="s">
        <v>318</v>
      </c>
      <c r="B550" t="s">
        <v>562</v>
      </c>
      <c r="C550" t="s">
        <v>8</v>
      </c>
      <c r="D550"/>
    </row>
    <row r="551" spans="1:4" hidden="1">
      <c r="A551" t="s">
        <v>318</v>
      </c>
      <c r="B551" t="s">
        <v>563</v>
      </c>
      <c r="C551" t="s">
        <v>8</v>
      </c>
      <c r="D551"/>
    </row>
    <row r="552" spans="1:4" hidden="1">
      <c r="A552" t="s">
        <v>318</v>
      </c>
      <c r="B552" t="s">
        <v>564</v>
      </c>
      <c r="C552" t="s">
        <v>8</v>
      </c>
      <c r="D552"/>
    </row>
    <row r="553" spans="1:4" hidden="1">
      <c r="A553" t="s">
        <v>318</v>
      </c>
      <c r="B553" t="s">
        <v>565</v>
      </c>
      <c r="C553" t="s">
        <v>8</v>
      </c>
      <c r="D553"/>
    </row>
    <row r="554" spans="1:4" hidden="1">
      <c r="A554" t="s">
        <v>318</v>
      </c>
      <c r="B554" t="s">
        <v>566</v>
      </c>
      <c r="C554" t="s">
        <v>8</v>
      </c>
      <c r="D554"/>
    </row>
    <row r="555" spans="1:4" hidden="1">
      <c r="A555" t="s">
        <v>318</v>
      </c>
      <c r="B555" t="s">
        <v>567</v>
      </c>
      <c r="C555" t="s">
        <v>8</v>
      </c>
      <c r="D555"/>
    </row>
    <row r="556" spans="1:4" hidden="1">
      <c r="A556" t="s">
        <v>318</v>
      </c>
      <c r="B556" t="s">
        <v>568</v>
      </c>
      <c r="C556" t="s">
        <v>8</v>
      </c>
      <c r="D556"/>
    </row>
    <row r="557" spans="1:4" hidden="1">
      <c r="A557" t="s">
        <v>318</v>
      </c>
      <c r="B557" t="s">
        <v>569</v>
      </c>
      <c r="C557" t="s">
        <v>8</v>
      </c>
      <c r="D557"/>
    </row>
    <row r="558" spans="1:4" hidden="1">
      <c r="A558" t="s">
        <v>318</v>
      </c>
      <c r="B558" t="s">
        <v>570</v>
      </c>
      <c r="C558" t="s">
        <v>8</v>
      </c>
      <c r="D558"/>
    </row>
    <row r="559" spans="1:4" hidden="1">
      <c r="A559" t="s">
        <v>318</v>
      </c>
      <c r="B559" t="s">
        <v>571</v>
      </c>
      <c r="C559" t="s">
        <v>8</v>
      </c>
      <c r="D559"/>
    </row>
    <row r="560" spans="1:4" hidden="1">
      <c r="A560" t="s">
        <v>318</v>
      </c>
      <c r="B560" t="s">
        <v>572</v>
      </c>
      <c r="C560" t="s">
        <v>8</v>
      </c>
      <c r="D560"/>
    </row>
    <row r="561" spans="1:4" hidden="1">
      <c r="A561" t="s">
        <v>318</v>
      </c>
      <c r="B561" t="s">
        <v>573</v>
      </c>
      <c r="C561" t="s">
        <v>8</v>
      </c>
      <c r="D561"/>
    </row>
    <row r="562" spans="1:4" hidden="1">
      <c r="A562" t="s">
        <v>318</v>
      </c>
      <c r="B562" t="s">
        <v>574</v>
      </c>
      <c r="C562" t="s">
        <v>8</v>
      </c>
      <c r="D562"/>
    </row>
    <row r="563" spans="1:4" hidden="1">
      <c r="A563" t="s">
        <v>318</v>
      </c>
      <c r="B563" t="s">
        <v>575</v>
      </c>
      <c r="C563" t="s">
        <v>8</v>
      </c>
      <c r="D563"/>
    </row>
    <row r="564" spans="1:4" hidden="1">
      <c r="A564" t="s">
        <v>318</v>
      </c>
      <c r="B564" t="s">
        <v>576</v>
      </c>
      <c r="C564" t="s">
        <v>8</v>
      </c>
      <c r="D564"/>
    </row>
    <row r="565" spans="1:4" hidden="1">
      <c r="A565" t="s">
        <v>318</v>
      </c>
      <c r="B565" t="s">
        <v>577</v>
      </c>
      <c r="C565" t="s">
        <v>8</v>
      </c>
      <c r="D565"/>
    </row>
    <row r="566" spans="1:4" hidden="1">
      <c r="A566" t="s">
        <v>318</v>
      </c>
      <c r="B566" t="s">
        <v>578</v>
      </c>
      <c r="C566" t="s">
        <v>8</v>
      </c>
      <c r="D566"/>
    </row>
    <row r="567" spans="1:4" hidden="1">
      <c r="A567" t="s">
        <v>318</v>
      </c>
      <c r="B567" t="s">
        <v>579</v>
      </c>
      <c r="C567" t="s">
        <v>8</v>
      </c>
      <c r="D567"/>
    </row>
    <row r="568" spans="1:4" hidden="1">
      <c r="A568" t="s">
        <v>318</v>
      </c>
      <c r="B568" t="s">
        <v>580</v>
      </c>
      <c r="C568" t="s">
        <v>8</v>
      </c>
      <c r="D568"/>
    </row>
    <row r="569" spans="1:4" hidden="1">
      <c r="A569" t="s">
        <v>318</v>
      </c>
      <c r="B569" t="s">
        <v>581</v>
      </c>
      <c r="C569" t="s">
        <v>8</v>
      </c>
      <c r="D569"/>
    </row>
    <row r="570" spans="1:4" hidden="1">
      <c r="A570" t="s">
        <v>318</v>
      </c>
      <c r="B570" t="s">
        <v>582</v>
      </c>
      <c r="C570" t="s">
        <v>8</v>
      </c>
      <c r="D570"/>
    </row>
    <row r="571" spans="1:4" hidden="1">
      <c r="A571" t="s">
        <v>318</v>
      </c>
      <c r="B571" t="s">
        <v>583</v>
      </c>
      <c r="C571" t="s">
        <v>8</v>
      </c>
      <c r="D571"/>
    </row>
    <row r="572" spans="1:4" hidden="1">
      <c r="A572" t="s">
        <v>318</v>
      </c>
      <c r="B572" t="s">
        <v>584</v>
      </c>
      <c r="C572" t="s">
        <v>8</v>
      </c>
      <c r="D572"/>
    </row>
    <row r="573" spans="1:4" hidden="1">
      <c r="A573" t="s">
        <v>318</v>
      </c>
      <c r="B573" t="s">
        <v>585</v>
      </c>
      <c r="C573" t="s">
        <v>8</v>
      </c>
      <c r="D573"/>
    </row>
    <row r="574" spans="1:4" hidden="1">
      <c r="A574" t="s">
        <v>318</v>
      </c>
      <c r="B574" t="s">
        <v>586</v>
      </c>
      <c r="C574" t="s">
        <v>8</v>
      </c>
      <c r="D574"/>
    </row>
    <row r="575" spans="1:4" hidden="1">
      <c r="A575" t="s">
        <v>318</v>
      </c>
      <c r="B575" t="s">
        <v>587</v>
      </c>
      <c r="C575" t="s">
        <v>8</v>
      </c>
      <c r="D575"/>
    </row>
    <row r="576" spans="1:4" hidden="1">
      <c r="A576" t="s">
        <v>318</v>
      </c>
      <c r="B576" t="s">
        <v>588</v>
      </c>
      <c r="C576" t="s">
        <v>8</v>
      </c>
      <c r="D576"/>
    </row>
    <row r="577" spans="1:4" hidden="1">
      <c r="A577" t="s">
        <v>318</v>
      </c>
      <c r="B577" t="s">
        <v>589</v>
      </c>
      <c r="C577" t="s">
        <v>8</v>
      </c>
      <c r="D577"/>
    </row>
    <row r="578" spans="1:4" hidden="1">
      <c r="A578" t="s">
        <v>318</v>
      </c>
      <c r="B578" t="s">
        <v>590</v>
      </c>
      <c r="C578" t="s">
        <v>8</v>
      </c>
      <c r="D578"/>
    </row>
    <row r="579" spans="1:4" hidden="1">
      <c r="A579" t="s">
        <v>318</v>
      </c>
      <c r="B579" t="s">
        <v>591</v>
      </c>
      <c r="C579" t="s">
        <v>8</v>
      </c>
      <c r="D579"/>
    </row>
    <row r="580" spans="1:4" hidden="1">
      <c r="A580" t="s">
        <v>318</v>
      </c>
      <c r="B580" t="s">
        <v>592</v>
      </c>
      <c r="C580" t="s">
        <v>8</v>
      </c>
      <c r="D580"/>
    </row>
    <row r="581" spans="1:4" hidden="1">
      <c r="A581" t="s">
        <v>318</v>
      </c>
      <c r="B581" t="s">
        <v>593</v>
      </c>
      <c r="C581" t="s">
        <v>8</v>
      </c>
      <c r="D581"/>
    </row>
    <row r="582" spans="1:4" hidden="1">
      <c r="A582" t="s">
        <v>318</v>
      </c>
      <c r="B582" t="s">
        <v>594</v>
      </c>
      <c r="C582" t="s">
        <v>8</v>
      </c>
      <c r="D582"/>
    </row>
    <row r="583" spans="1:4" hidden="1">
      <c r="A583" t="s">
        <v>318</v>
      </c>
      <c r="B583" t="s">
        <v>595</v>
      </c>
      <c r="C583" t="s">
        <v>8</v>
      </c>
      <c r="D583"/>
    </row>
    <row r="584" spans="1:4" hidden="1">
      <c r="A584" t="s">
        <v>318</v>
      </c>
      <c r="B584" t="s">
        <v>596</v>
      </c>
      <c r="C584" t="s">
        <v>8</v>
      </c>
      <c r="D584"/>
    </row>
    <row r="585" spans="1:4" hidden="1">
      <c r="A585" t="s">
        <v>318</v>
      </c>
      <c r="B585" t="s">
        <v>597</v>
      </c>
      <c r="C585" t="s">
        <v>8</v>
      </c>
      <c r="D585"/>
    </row>
    <row r="586" spans="1:4" hidden="1">
      <c r="A586" t="s">
        <v>318</v>
      </c>
      <c r="B586" t="s">
        <v>598</v>
      </c>
      <c r="C586" t="s">
        <v>8</v>
      </c>
      <c r="D586"/>
    </row>
    <row r="587" spans="1:4" hidden="1">
      <c r="A587" t="s">
        <v>318</v>
      </c>
      <c r="B587" t="s">
        <v>599</v>
      </c>
      <c r="C587" t="s">
        <v>8</v>
      </c>
      <c r="D587"/>
    </row>
    <row r="588" spans="1:4" hidden="1">
      <c r="A588" t="s">
        <v>318</v>
      </c>
      <c r="B588" t="s">
        <v>600</v>
      </c>
      <c r="C588" t="s">
        <v>8</v>
      </c>
      <c r="D588"/>
    </row>
    <row r="589" spans="1:4" hidden="1">
      <c r="A589" t="s">
        <v>318</v>
      </c>
      <c r="B589" t="s">
        <v>601</v>
      </c>
      <c r="C589" t="s">
        <v>8</v>
      </c>
      <c r="D589"/>
    </row>
    <row r="590" spans="1:4" hidden="1">
      <c r="A590" t="s">
        <v>318</v>
      </c>
      <c r="B590" t="s">
        <v>602</v>
      </c>
      <c r="C590" t="s">
        <v>8</v>
      </c>
      <c r="D590"/>
    </row>
    <row r="591" spans="1:4" hidden="1">
      <c r="A591" t="s">
        <v>318</v>
      </c>
      <c r="B591" t="s">
        <v>603</v>
      </c>
      <c r="C591" t="s">
        <v>8</v>
      </c>
      <c r="D591"/>
    </row>
    <row r="592" spans="1:4" hidden="1">
      <c r="A592" t="s">
        <v>318</v>
      </c>
      <c r="B592" t="s">
        <v>604</v>
      </c>
      <c r="C592" t="s">
        <v>8</v>
      </c>
      <c r="D592"/>
    </row>
    <row r="593" spans="1:4" hidden="1">
      <c r="A593" t="s">
        <v>318</v>
      </c>
      <c r="B593" t="s">
        <v>605</v>
      </c>
      <c r="C593" t="s">
        <v>8</v>
      </c>
      <c r="D593"/>
    </row>
    <row r="594" spans="1:4" hidden="1">
      <c r="A594" t="s">
        <v>318</v>
      </c>
      <c r="B594" t="s">
        <v>606</v>
      </c>
      <c r="C594" t="s">
        <v>8</v>
      </c>
      <c r="D594"/>
    </row>
    <row r="595" spans="1:4" hidden="1">
      <c r="A595" t="s">
        <v>318</v>
      </c>
      <c r="B595" t="s">
        <v>607</v>
      </c>
      <c r="C595" t="s">
        <v>8</v>
      </c>
      <c r="D595"/>
    </row>
    <row r="596" spans="1:4" hidden="1">
      <c r="A596" t="s">
        <v>318</v>
      </c>
      <c r="B596" t="s">
        <v>608</v>
      </c>
      <c r="C596" t="s">
        <v>8</v>
      </c>
      <c r="D596"/>
    </row>
    <row r="597" spans="1:4" hidden="1">
      <c r="A597" t="s">
        <v>318</v>
      </c>
      <c r="B597" t="s">
        <v>609</v>
      </c>
      <c r="C597" t="s">
        <v>8</v>
      </c>
      <c r="D597"/>
    </row>
    <row r="598" spans="1:4" hidden="1">
      <c r="A598" t="s">
        <v>318</v>
      </c>
      <c r="B598" t="s">
        <v>610</v>
      </c>
      <c r="C598" t="s">
        <v>8</v>
      </c>
      <c r="D598"/>
    </row>
    <row r="599" spans="1:4" hidden="1">
      <c r="A599" t="s">
        <v>318</v>
      </c>
      <c r="B599" t="s">
        <v>611</v>
      </c>
      <c r="C599" t="s">
        <v>8</v>
      </c>
      <c r="D599"/>
    </row>
    <row r="600" spans="1:4" hidden="1">
      <c r="A600" t="s">
        <v>318</v>
      </c>
      <c r="B600" t="s">
        <v>612</v>
      </c>
      <c r="C600" t="s">
        <v>8</v>
      </c>
      <c r="D600"/>
    </row>
    <row r="601" spans="1:4" hidden="1">
      <c r="A601" t="s">
        <v>318</v>
      </c>
      <c r="B601" t="s">
        <v>613</v>
      </c>
      <c r="C601" t="s">
        <v>8</v>
      </c>
      <c r="D601"/>
    </row>
    <row r="602" spans="1:4" hidden="1">
      <c r="A602" t="s">
        <v>318</v>
      </c>
      <c r="B602" t="s">
        <v>614</v>
      </c>
      <c r="C602" t="s">
        <v>8</v>
      </c>
      <c r="D602"/>
    </row>
    <row r="603" spans="1:4" hidden="1">
      <c r="A603" t="s">
        <v>318</v>
      </c>
      <c r="B603" t="s">
        <v>615</v>
      </c>
      <c r="C603" t="s">
        <v>8</v>
      </c>
      <c r="D603"/>
    </row>
    <row r="604" spans="1:4" hidden="1">
      <c r="A604" t="s">
        <v>318</v>
      </c>
      <c r="B604" t="s">
        <v>616</v>
      </c>
      <c r="C604" t="s">
        <v>8</v>
      </c>
      <c r="D604"/>
    </row>
    <row r="605" spans="1:4" hidden="1">
      <c r="A605" t="s">
        <v>318</v>
      </c>
      <c r="B605" t="s">
        <v>617</v>
      </c>
      <c r="C605" t="s">
        <v>8</v>
      </c>
      <c r="D605"/>
    </row>
    <row r="606" spans="1:4" hidden="1">
      <c r="A606" t="s">
        <v>318</v>
      </c>
      <c r="B606" t="s">
        <v>618</v>
      </c>
      <c r="C606" t="s">
        <v>8</v>
      </c>
      <c r="D606"/>
    </row>
    <row r="607" spans="1:4" hidden="1">
      <c r="A607" t="s">
        <v>318</v>
      </c>
      <c r="B607" t="s">
        <v>619</v>
      </c>
      <c r="C607" t="s">
        <v>8</v>
      </c>
      <c r="D607"/>
    </row>
    <row r="608" spans="1:4" hidden="1">
      <c r="A608" t="s">
        <v>318</v>
      </c>
      <c r="B608" t="s">
        <v>620</v>
      </c>
      <c r="C608" t="s">
        <v>8</v>
      </c>
      <c r="D608"/>
    </row>
    <row r="609" spans="1:4" hidden="1">
      <c r="A609" t="s">
        <v>318</v>
      </c>
      <c r="B609" t="s">
        <v>621</v>
      </c>
      <c r="C609" t="s">
        <v>8</v>
      </c>
      <c r="D609"/>
    </row>
    <row r="610" spans="1:4" hidden="1">
      <c r="A610" t="s">
        <v>318</v>
      </c>
      <c r="B610" t="s">
        <v>622</v>
      </c>
      <c r="C610" t="s">
        <v>8</v>
      </c>
      <c r="D610"/>
    </row>
    <row r="611" spans="1:4" hidden="1">
      <c r="A611" t="s">
        <v>318</v>
      </c>
      <c r="B611" t="s">
        <v>623</v>
      </c>
      <c r="C611" t="s">
        <v>8</v>
      </c>
      <c r="D611"/>
    </row>
    <row r="612" spans="1:4" hidden="1">
      <c r="A612" t="s">
        <v>318</v>
      </c>
      <c r="B612" t="s">
        <v>624</v>
      </c>
      <c r="C612" t="s">
        <v>8</v>
      </c>
      <c r="D612"/>
    </row>
    <row r="613" spans="1:4" hidden="1">
      <c r="A613" t="s">
        <v>318</v>
      </c>
      <c r="B613" t="s">
        <v>625</v>
      </c>
      <c r="C613" t="s">
        <v>8</v>
      </c>
      <c r="D613"/>
    </row>
    <row r="614" spans="1:4" hidden="1">
      <c r="A614" t="s">
        <v>318</v>
      </c>
      <c r="B614" t="s">
        <v>626</v>
      </c>
      <c r="C614" t="s">
        <v>8</v>
      </c>
      <c r="D614"/>
    </row>
    <row r="615" spans="1:4" hidden="1">
      <c r="A615" t="s">
        <v>318</v>
      </c>
      <c r="B615" t="s">
        <v>627</v>
      </c>
      <c r="C615" t="s">
        <v>8</v>
      </c>
      <c r="D615"/>
    </row>
    <row r="616" spans="1:4" hidden="1">
      <c r="A616" t="s">
        <v>318</v>
      </c>
      <c r="B616" t="s">
        <v>628</v>
      </c>
      <c r="C616" t="s">
        <v>8</v>
      </c>
      <c r="D616"/>
    </row>
    <row r="617" spans="1:4" hidden="1">
      <c r="A617" t="s">
        <v>318</v>
      </c>
      <c r="B617" t="s">
        <v>629</v>
      </c>
      <c r="C617" t="s">
        <v>8</v>
      </c>
      <c r="D617"/>
    </row>
    <row r="618" spans="1:4" hidden="1">
      <c r="A618" t="s">
        <v>318</v>
      </c>
      <c r="B618" t="s">
        <v>630</v>
      </c>
      <c r="C618" t="s">
        <v>8</v>
      </c>
      <c r="D618"/>
    </row>
    <row r="619" spans="1:4" hidden="1">
      <c r="A619" t="s">
        <v>318</v>
      </c>
      <c r="B619" t="s">
        <v>631</v>
      </c>
      <c r="C619" t="s">
        <v>8</v>
      </c>
      <c r="D619"/>
    </row>
    <row r="620" spans="1:4" hidden="1">
      <c r="A620" t="s">
        <v>318</v>
      </c>
      <c r="B620" t="s">
        <v>632</v>
      </c>
      <c r="C620" t="s">
        <v>8</v>
      </c>
      <c r="D620"/>
    </row>
    <row r="621" spans="1:4" hidden="1">
      <c r="A621" t="s">
        <v>318</v>
      </c>
      <c r="B621" t="s">
        <v>633</v>
      </c>
      <c r="C621" t="s">
        <v>8</v>
      </c>
      <c r="D621"/>
    </row>
    <row r="622" spans="1:4" hidden="1">
      <c r="A622" t="s">
        <v>318</v>
      </c>
      <c r="B622" t="s">
        <v>634</v>
      </c>
      <c r="C622" t="s">
        <v>8</v>
      </c>
      <c r="D622"/>
    </row>
    <row r="623" spans="1:4" hidden="1">
      <c r="A623" t="s">
        <v>318</v>
      </c>
      <c r="B623" t="s">
        <v>635</v>
      </c>
      <c r="C623" t="s">
        <v>8</v>
      </c>
      <c r="D623"/>
    </row>
    <row r="624" spans="1:4" hidden="1">
      <c r="A624" t="s">
        <v>318</v>
      </c>
      <c r="B624" t="s">
        <v>636</v>
      </c>
      <c r="C624" t="s">
        <v>8</v>
      </c>
      <c r="D624"/>
    </row>
    <row r="625" spans="1:4" hidden="1">
      <c r="A625" t="s">
        <v>318</v>
      </c>
      <c r="B625" t="s">
        <v>637</v>
      </c>
      <c r="C625" t="s">
        <v>8</v>
      </c>
      <c r="D625"/>
    </row>
    <row r="626" spans="1:4" hidden="1">
      <c r="A626" t="s">
        <v>318</v>
      </c>
      <c r="B626" t="s">
        <v>638</v>
      </c>
      <c r="C626" t="s">
        <v>8</v>
      </c>
      <c r="D626"/>
    </row>
    <row r="627" spans="1:4" hidden="1">
      <c r="A627" t="s">
        <v>318</v>
      </c>
      <c r="B627" t="s">
        <v>639</v>
      </c>
      <c r="C627" t="s">
        <v>8</v>
      </c>
      <c r="D627"/>
    </row>
    <row r="628" spans="1:4" hidden="1">
      <c r="A628" t="s">
        <v>318</v>
      </c>
      <c r="B628" t="s">
        <v>640</v>
      </c>
      <c r="C628" t="s">
        <v>8</v>
      </c>
      <c r="D628"/>
    </row>
    <row r="629" spans="1:4" hidden="1">
      <c r="A629" t="s">
        <v>318</v>
      </c>
      <c r="B629" t="s">
        <v>641</v>
      </c>
      <c r="C629" t="s">
        <v>8</v>
      </c>
      <c r="D629"/>
    </row>
    <row r="630" spans="1:4" hidden="1">
      <c r="A630" t="s">
        <v>318</v>
      </c>
      <c r="B630" t="s">
        <v>642</v>
      </c>
      <c r="C630" t="s">
        <v>8</v>
      </c>
      <c r="D630"/>
    </row>
    <row r="631" spans="1:4" hidden="1">
      <c r="A631" t="s">
        <v>318</v>
      </c>
      <c r="B631" t="s">
        <v>643</v>
      </c>
      <c r="C631" t="s">
        <v>8</v>
      </c>
      <c r="D631"/>
    </row>
    <row r="632" spans="1:4" hidden="1">
      <c r="A632" t="s">
        <v>318</v>
      </c>
      <c r="B632" t="s">
        <v>644</v>
      </c>
      <c r="C632" t="s">
        <v>8</v>
      </c>
      <c r="D632"/>
    </row>
    <row r="633" spans="1:4" hidden="1">
      <c r="A633" t="s">
        <v>318</v>
      </c>
      <c r="B633" t="s">
        <v>645</v>
      </c>
      <c r="C633" t="s">
        <v>8</v>
      </c>
      <c r="D633"/>
    </row>
    <row r="634" spans="1:4" hidden="1">
      <c r="A634" t="s">
        <v>318</v>
      </c>
      <c r="B634" t="s">
        <v>646</v>
      </c>
      <c r="C634" t="s">
        <v>8</v>
      </c>
      <c r="D634"/>
    </row>
    <row r="635" spans="1:4" hidden="1">
      <c r="A635" t="s">
        <v>318</v>
      </c>
      <c r="B635" t="s">
        <v>647</v>
      </c>
      <c r="C635" t="s">
        <v>8</v>
      </c>
      <c r="D635"/>
    </row>
    <row r="636" spans="1:4" hidden="1">
      <c r="A636" t="s">
        <v>318</v>
      </c>
      <c r="B636" t="s">
        <v>648</v>
      </c>
      <c r="C636" t="s">
        <v>8</v>
      </c>
      <c r="D636"/>
    </row>
    <row r="637" spans="1:4" hidden="1">
      <c r="A637" t="s">
        <v>318</v>
      </c>
      <c r="B637" t="s">
        <v>649</v>
      </c>
      <c r="C637" t="s">
        <v>8</v>
      </c>
      <c r="D637"/>
    </row>
    <row r="638" spans="1:4" hidden="1">
      <c r="A638" t="s">
        <v>318</v>
      </c>
      <c r="B638" t="s">
        <v>650</v>
      </c>
      <c r="C638" t="s">
        <v>8</v>
      </c>
      <c r="D638"/>
    </row>
    <row r="639" spans="1:4" hidden="1">
      <c r="A639" t="s">
        <v>318</v>
      </c>
      <c r="B639" t="s">
        <v>651</v>
      </c>
      <c r="C639" t="s">
        <v>8</v>
      </c>
      <c r="D639"/>
    </row>
    <row r="640" spans="1:4" hidden="1">
      <c r="A640" t="s">
        <v>318</v>
      </c>
      <c r="B640" t="s">
        <v>652</v>
      </c>
      <c r="C640" t="s">
        <v>8</v>
      </c>
      <c r="D640"/>
    </row>
    <row r="641" spans="1:4" hidden="1">
      <c r="A641" t="s">
        <v>318</v>
      </c>
      <c r="B641" t="s">
        <v>653</v>
      </c>
      <c r="C641" t="s">
        <v>8</v>
      </c>
      <c r="D641"/>
    </row>
    <row r="642" spans="1:4" hidden="1">
      <c r="A642" t="s">
        <v>318</v>
      </c>
      <c r="B642" t="s">
        <v>654</v>
      </c>
      <c r="C642" t="s">
        <v>8</v>
      </c>
      <c r="D642"/>
    </row>
    <row r="643" spans="1:4" hidden="1">
      <c r="A643" t="s">
        <v>318</v>
      </c>
      <c r="B643" t="s">
        <v>655</v>
      </c>
      <c r="C643" t="s">
        <v>8</v>
      </c>
      <c r="D643"/>
    </row>
    <row r="644" spans="1:4" hidden="1">
      <c r="A644" t="s">
        <v>318</v>
      </c>
      <c r="B644" t="s">
        <v>656</v>
      </c>
      <c r="C644" t="s">
        <v>8</v>
      </c>
      <c r="D644"/>
    </row>
    <row r="645" spans="1:4" hidden="1">
      <c r="A645" t="s">
        <v>318</v>
      </c>
      <c r="B645" t="s">
        <v>657</v>
      </c>
      <c r="C645" t="s">
        <v>8</v>
      </c>
      <c r="D645"/>
    </row>
    <row r="646" spans="1:4" hidden="1">
      <c r="A646" t="s">
        <v>318</v>
      </c>
      <c r="B646" t="s">
        <v>658</v>
      </c>
      <c r="C646" t="s">
        <v>8</v>
      </c>
      <c r="D646"/>
    </row>
    <row r="647" spans="1:4" hidden="1">
      <c r="A647" t="s">
        <v>318</v>
      </c>
      <c r="B647" t="s">
        <v>659</v>
      </c>
      <c r="C647" t="s">
        <v>8</v>
      </c>
      <c r="D647"/>
    </row>
    <row r="648" spans="1:4" hidden="1">
      <c r="A648" t="s">
        <v>318</v>
      </c>
      <c r="B648" t="s">
        <v>660</v>
      </c>
      <c r="C648" t="s">
        <v>8</v>
      </c>
      <c r="D648"/>
    </row>
    <row r="649" spans="1:4" hidden="1">
      <c r="A649" t="s">
        <v>318</v>
      </c>
      <c r="B649" t="s">
        <v>661</v>
      </c>
      <c r="C649" t="s">
        <v>8</v>
      </c>
      <c r="D649"/>
    </row>
    <row r="650" spans="1:4" hidden="1">
      <c r="A650" t="s">
        <v>318</v>
      </c>
      <c r="B650" t="s">
        <v>662</v>
      </c>
      <c r="C650" t="s">
        <v>8</v>
      </c>
      <c r="D650"/>
    </row>
    <row r="651" spans="1:4" hidden="1">
      <c r="A651" t="s">
        <v>318</v>
      </c>
      <c r="B651" t="s">
        <v>663</v>
      </c>
      <c r="C651" t="s">
        <v>8</v>
      </c>
      <c r="D651"/>
    </row>
    <row r="652" spans="1:4" hidden="1">
      <c r="A652" t="s">
        <v>318</v>
      </c>
      <c r="B652" t="s">
        <v>664</v>
      </c>
      <c r="C652" t="s">
        <v>8</v>
      </c>
      <c r="D652"/>
    </row>
    <row r="653" spans="1:4" hidden="1">
      <c r="A653" t="s">
        <v>318</v>
      </c>
      <c r="B653" t="s">
        <v>665</v>
      </c>
      <c r="C653" t="s">
        <v>8</v>
      </c>
      <c r="D653"/>
    </row>
    <row r="654" spans="1:4" hidden="1">
      <c r="A654" t="s">
        <v>318</v>
      </c>
      <c r="B654" t="s">
        <v>666</v>
      </c>
      <c r="C654" t="s">
        <v>8</v>
      </c>
      <c r="D654"/>
    </row>
    <row r="655" spans="1:4" hidden="1">
      <c r="A655" t="s">
        <v>318</v>
      </c>
      <c r="B655" t="s">
        <v>667</v>
      </c>
      <c r="C655" t="s">
        <v>8</v>
      </c>
      <c r="D655"/>
    </row>
    <row r="656" spans="1:4" hidden="1">
      <c r="A656" t="s">
        <v>318</v>
      </c>
      <c r="B656" t="s">
        <v>668</v>
      </c>
      <c r="C656" t="s">
        <v>8</v>
      </c>
      <c r="D656"/>
    </row>
    <row r="657" spans="1:4" hidden="1">
      <c r="A657" t="s">
        <v>318</v>
      </c>
      <c r="B657" t="s">
        <v>669</v>
      </c>
      <c r="C657" t="s">
        <v>8</v>
      </c>
      <c r="D657"/>
    </row>
    <row r="658" spans="1:4" hidden="1">
      <c r="A658" t="s">
        <v>318</v>
      </c>
      <c r="B658" t="s">
        <v>670</v>
      </c>
      <c r="C658" t="s">
        <v>8</v>
      </c>
      <c r="D658"/>
    </row>
    <row r="659" spans="1:4" hidden="1">
      <c r="A659" t="s">
        <v>318</v>
      </c>
      <c r="B659" t="s">
        <v>671</v>
      </c>
      <c r="C659" t="s">
        <v>8</v>
      </c>
      <c r="D659"/>
    </row>
    <row r="660" spans="1:4" hidden="1">
      <c r="A660" t="s">
        <v>318</v>
      </c>
      <c r="B660" t="s">
        <v>672</v>
      </c>
      <c r="C660" t="s">
        <v>8</v>
      </c>
      <c r="D660"/>
    </row>
    <row r="661" spans="1:4" hidden="1">
      <c r="A661" t="s">
        <v>318</v>
      </c>
      <c r="B661" t="s">
        <v>673</v>
      </c>
      <c r="C661" t="s">
        <v>8</v>
      </c>
      <c r="D661"/>
    </row>
    <row r="662" spans="1:4" hidden="1">
      <c r="A662" t="s">
        <v>318</v>
      </c>
      <c r="B662" t="s">
        <v>674</v>
      </c>
      <c r="C662" t="s">
        <v>8</v>
      </c>
      <c r="D662"/>
    </row>
    <row r="663" spans="1:4" hidden="1">
      <c r="A663" t="s">
        <v>318</v>
      </c>
      <c r="B663" t="s">
        <v>675</v>
      </c>
      <c r="C663" t="s">
        <v>8</v>
      </c>
      <c r="D663"/>
    </row>
    <row r="664" spans="1:4" hidden="1">
      <c r="A664" t="s">
        <v>318</v>
      </c>
      <c r="B664" t="s">
        <v>676</v>
      </c>
      <c r="C664" t="s">
        <v>8</v>
      </c>
      <c r="D664"/>
    </row>
    <row r="665" spans="1:4" hidden="1">
      <c r="A665" t="s">
        <v>318</v>
      </c>
      <c r="B665" t="s">
        <v>677</v>
      </c>
      <c r="C665" t="s">
        <v>8</v>
      </c>
      <c r="D665"/>
    </row>
    <row r="666" spans="1:4" hidden="1">
      <c r="A666" t="s">
        <v>318</v>
      </c>
      <c r="B666" t="s">
        <v>678</v>
      </c>
      <c r="C666" t="s">
        <v>8</v>
      </c>
      <c r="D666"/>
    </row>
    <row r="667" spans="1:4" hidden="1">
      <c r="A667" t="s">
        <v>318</v>
      </c>
      <c r="B667" t="s">
        <v>679</v>
      </c>
      <c r="C667" t="s">
        <v>8</v>
      </c>
      <c r="D667"/>
    </row>
    <row r="668" spans="1:4" hidden="1">
      <c r="A668" t="s">
        <v>318</v>
      </c>
      <c r="B668" t="s">
        <v>680</v>
      </c>
      <c r="C668" t="s">
        <v>8</v>
      </c>
      <c r="D668"/>
    </row>
    <row r="669" spans="1:4" hidden="1">
      <c r="A669" t="s">
        <v>318</v>
      </c>
      <c r="B669" t="s">
        <v>681</v>
      </c>
      <c r="C669" t="s">
        <v>8</v>
      </c>
      <c r="D669"/>
    </row>
    <row r="670" spans="1:4" hidden="1">
      <c r="A670" t="s">
        <v>318</v>
      </c>
      <c r="B670" t="s">
        <v>682</v>
      </c>
      <c r="C670" t="s">
        <v>8</v>
      </c>
      <c r="D670"/>
    </row>
    <row r="671" spans="1:4" hidden="1">
      <c r="A671" t="s">
        <v>318</v>
      </c>
      <c r="B671" t="s">
        <v>683</v>
      </c>
      <c r="C671" t="s">
        <v>8</v>
      </c>
      <c r="D671"/>
    </row>
    <row r="672" spans="1:4" hidden="1">
      <c r="A672" t="s">
        <v>318</v>
      </c>
      <c r="B672" t="s">
        <v>684</v>
      </c>
      <c r="C672" t="s">
        <v>8</v>
      </c>
      <c r="D672"/>
    </row>
    <row r="673" spans="1:4" hidden="1">
      <c r="A673" t="s">
        <v>318</v>
      </c>
      <c r="B673" t="s">
        <v>685</v>
      </c>
      <c r="C673" t="s">
        <v>8</v>
      </c>
      <c r="D673"/>
    </row>
    <row r="674" spans="1:4" hidden="1">
      <c r="A674" t="s">
        <v>318</v>
      </c>
      <c r="B674" t="s">
        <v>686</v>
      </c>
      <c r="C674" t="s">
        <v>8</v>
      </c>
      <c r="D674"/>
    </row>
    <row r="675" spans="1:4" hidden="1">
      <c r="A675" t="s">
        <v>318</v>
      </c>
      <c r="B675" t="s">
        <v>687</v>
      </c>
      <c r="C675" t="s">
        <v>8</v>
      </c>
      <c r="D675"/>
    </row>
    <row r="676" spans="1:4" hidden="1">
      <c r="A676" t="s">
        <v>318</v>
      </c>
      <c r="B676" t="s">
        <v>688</v>
      </c>
      <c r="C676" t="s">
        <v>8</v>
      </c>
      <c r="D676"/>
    </row>
    <row r="677" spans="1:4" hidden="1">
      <c r="A677" t="s">
        <v>318</v>
      </c>
      <c r="B677" t="s">
        <v>689</v>
      </c>
      <c r="C677" t="s">
        <v>8</v>
      </c>
      <c r="D677"/>
    </row>
    <row r="678" spans="1:4" hidden="1">
      <c r="A678" t="s">
        <v>318</v>
      </c>
      <c r="B678" t="s">
        <v>690</v>
      </c>
      <c r="C678" t="s">
        <v>8</v>
      </c>
      <c r="D678"/>
    </row>
    <row r="679" spans="1:4" hidden="1">
      <c r="A679" t="s">
        <v>318</v>
      </c>
      <c r="B679" t="s">
        <v>691</v>
      </c>
      <c r="C679" t="s">
        <v>8</v>
      </c>
      <c r="D679"/>
    </row>
    <row r="680" spans="1:4" hidden="1">
      <c r="A680" t="s">
        <v>318</v>
      </c>
      <c r="B680" t="s">
        <v>692</v>
      </c>
      <c r="C680" t="s">
        <v>8</v>
      </c>
      <c r="D680"/>
    </row>
    <row r="681" spans="1:4" hidden="1">
      <c r="A681" t="s">
        <v>318</v>
      </c>
      <c r="B681" t="s">
        <v>693</v>
      </c>
      <c r="C681" t="s">
        <v>8</v>
      </c>
      <c r="D681"/>
    </row>
    <row r="682" spans="1:4" hidden="1">
      <c r="A682" t="s">
        <v>318</v>
      </c>
      <c r="B682" t="s">
        <v>694</v>
      </c>
      <c r="C682" t="s">
        <v>8</v>
      </c>
      <c r="D682"/>
    </row>
    <row r="683" spans="1:4" hidden="1">
      <c r="A683" t="s">
        <v>318</v>
      </c>
      <c r="B683" t="s">
        <v>695</v>
      </c>
      <c r="C683" t="s">
        <v>8</v>
      </c>
      <c r="D683"/>
    </row>
    <row r="684" spans="1:4" hidden="1">
      <c r="A684" t="s">
        <v>318</v>
      </c>
      <c r="B684" t="s">
        <v>696</v>
      </c>
      <c r="C684" t="s">
        <v>8</v>
      </c>
      <c r="D684"/>
    </row>
    <row r="685" spans="1:4" hidden="1">
      <c r="A685" t="s">
        <v>318</v>
      </c>
      <c r="B685" t="s">
        <v>697</v>
      </c>
      <c r="C685" t="s">
        <v>8</v>
      </c>
      <c r="D685"/>
    </row>
    <row r="686" spans="1:4" hidden="1">
      <c r="A686" t="s">
        <v>318</v>
      </c>
      <c r="B686" t="s">
        <v>698</v>
      </c>
      <c r="C686" t="s">
        <v>8</v>
      </c>
      <c r="D686"/>
    </row>
    <row r="687" spans="1:4" hidden="1">
      <c r="A687" t="s">
        <v>318</v>
      </c>
      <c r="B687" t="s">
        <v>699</v>
      </c>
      <c r="C687" t="s">
        <v>8</v>
      </c>
      <c r="D687"/>
    </row>
    <row r="688" spans="1:4" hidden="1">
      <c r="A688" t="s">
        <v>318</v>
      </c>
      <c r="B688" t="s">
        <v>700</v>
      </c>
      <c r="C688" t="s">
        <v>8</v>
      </c>
      <c r="D688"/>
    </row>
    <row r="689" spans="1:5" hidden="1">
      <c r="A689" t="s">
        <v>318</v>
      </c>
      <c r="B689" t="s">
        <v>701</v>
      </c>
      <c r="C689" t="s">
        <v>8</v>
      </c>
      <c r="D689"/>
    </row>
    <row r="690" spans="1:5" hidden="1">
      <c r="A690" t="s">
        <v>318</v>
      </c>
      <c r="B690" t="s">
        <v>702</v>
      </c>
      <c r="C690" t="s">
        <v>8</v>
      </c>
      <c r="D690"/>
    </row>
    <row r="691" spans="1:5" hidden="1">
      <c r="A691" t="s">
        <v>318</v>
      </c>
      <c r="B691" t="s">
        <v>703</v>
      </c>
      <c r="C691" t="s">
        <v>8</v>
      </c>
      <c r="D691"/>
    </row>
    <row r="692" spans="1:5" hidden="1">
      <c r="A692" t="s">
        <v>318</v>
      </c>
      <c r="B692" t="s">
        <v>704</v>
      </c>
      <c r="C692" t="s">
        <v>8</v>
      </c>
      <c r="D692"/>
    </row>
    <row r="693" spans="1:5" hidden="1">
      <c r="A693" t="s">
        <v>318</v>
      </c>
      <c r="B693" t="s">
        <v>705</v>
      </c>
      <c r="C693" t="s">
        <v>8</v>
      </c>
      <c r="D693"/>
    </row>
    <row r="694" spans="1:5" hidden="1">
      <c r="A694" t="s">
        <v>318</v>
      </c>
      <c r="B694" t="s">
        <v>706</v>
      </c>
      <c r="C694" t="s">
        <v>8</v>
      </c>
      <c r="D694"/>
    </row>
    <row r="695" spans="1:5" hidden="1">
      <c r="A695" t="s">
        <v>318</v>
      </c>
      <c r="B695" t="s">
        <v>707</v>
      </c>
      <c r="C695" t="s">
        <v>8</v>
      </c>
      <c r="D695"/>
    </row>
    <row r="696" spans="1:5" hidden="1">
      <c r="A696" t="s">
        <v>318</v>
      </c>
      <c r="B696" t="s">
        <v>708</v>
      </c>
      <c r="C696" t="s">
        <v>8</v>
      </c>
      <c r="D696"/>
    </row>
    <row r="697" spans="1:5" hidden="1">
      <c r="A697" t="s">
        <v>318</v>
      </c>
      <c r="B697" t="s">
        <v>709</v>
      </c>
      <c r="C697" t="s">
        <v>8</v>
      </c>
      <c r="D697"/>
    </row>
    <row r="698" spans="1:5" hidden="1">
      <c r="A698" t="s">
        <v>318</v>
      </c>
      <c r="B698" t="s">
        <v>710</v>
      </c>
      <c r="C698" t="s">
        <v>8</v>
      </c>
      <c r="D698"/>
    </row>
    <row r="699" spans="1:5" hidden="1">
      <c r="A699" t="s">
        <v>318</v>
      </c>
      <c r="B699" t="s">
        <v>711</v>
      </c>
      <c r="C699" t="s">
        <v>8</v>
      </c>
      <c r="D699"/>
    </row>
    <row r="700" spans="1:5" hidden="1">
      <c r="A700" t="s">
        <v>318</v>
      </c>
      <c r="B700" t="s">
        <v>712</v>
      </c>
      <c r="C700" t="s">
        <v>8</v>
      </c>
      <c r="D700"/>
    </row>
    <row r="701" spans="1:5">
      <c r="A701" t="s">
        <v>713</v>
      </c>
      <c r="B701" t="s">
        <v>714</v>
      </c>
      <c r="C701" t="s">
        <v>8</v>
      </c>
      <c r="D701" s="19">
        <v>11800</v>
      </c>
      <c r="E701" t="s">
        <v>19</v>
      </c>
    </row>
    <row r="702" spans="1:5" hidden="1">
      <c r="A702" t="s">
        <v>713</v>
      </c>
      <c r="B702" t="s">
        <v>715</v>
      </c>
      <c r="C702" t="s">
        <v>8</v>
      </c>
    </row>
    <row r="703" spans="1:5">
      <c r="A703" t="s">
        <v>713</v>
      </c>
      <c r="B703" t="s">
        <v>716</v>
      </c>
      <c r="C703" t="s">
        <v>8</v>
      </c>
      <c r="D703" s="20">
        <v>2526611.6</v>
      </c>
      <c r="E703" t="s">
        <v>25</v>
      </c>
    </row>
    <row r="704" spans="1:5" hidden="1">
      <c r="A704" t="s">
        <v>713</v>
      </c>
      <c r="B704" t="s">
        <v>717</v>
      </c>
      <c r="C704" t="s">
        <v>8</v>
      </c>
    </row>
    <row r="705" spans="1:5">
      <c r="A705" t="s">
        <v>713</v>
      </c>
      <c r="B705" t="s">
        <v>718</v>
      </c>
      <c r="C705" t="s">
        <v>8</v>
      </c>
      <c r="D705" s="20">
        <v>385980</v>
      </c>
      <c r="E705" t="s">
        <v>25</v>
      </c>
    </row>
    <row r="706" spans="1:5" hidden="1">
      <c r="A706" t="s">
        <v>713</v>
      </c>
      <c r="B706" t="s">
        <v>719</v>
      </c>
      <c r="C706" t="s">
        <v>8</v>
      </c>
    </row>
    <row r="707" spans="1:5" hidden="1">
      <c r="A707" t="s">
        <v>713</v>
      </c>
      <c r="B707" t="s">
        <v>720</v>
      </c>
      <c r="C707" t="s">
        <v>8</v>
      </c>
    </row>
    <row r="708" spans="1:5" hidden="1">
      <c r="A708" t="s">
        <v>713</v>
      </c>
      <c r="B708" t="s">
        <v>721</v>
      </c>
      <c r="C708" t="s">
        <v>8</v>
      </c>
    </row>
    <row r="709" spans="1:5">
      <c r="A709" t="s">
        <v>713</v>
      </c>
      <c r="B709" t="s">
        <v>722</v>
      </c>
      <c r="C709" t="s">
        <v>8</v>
      </c>
      <c r="D709" s="20">
        <v>57471</v>
      </c>
      <c r="E709" t="s">
        <v>25</v>
      </c>
    </row>
    <row r="710" spans="1:5" hidden="1">
      <c r="A710" t="s">
        <v>713</v>
      </c>
      <c r="B710" t="s">
        <v>723</v>
      </c>
      <c r="C710" t="s">
        <v>8</v>
      </c>
    </row>
    <row r="711" spans="1:5" hidden="1">
      <c r="A711" t="s">
        <v>713</v>
      </c>
      <c r="B711" t="s">
        <v>724</v>
      </c>
      <c r="C711" t="s">
        <v>8</v>
      </c>
    </row>
    <row r="712" spans="1:5">
      <c r="A712" t="s">
        <v>713</v>
      </c>
      <c r="B712" t="s">
        <v>725</v>
      </c>
      <c r="C712" t="s">
        <v>8</v>
      </c>
      <c r="D712" s="20">
        <v>231284</v>
      </c>
      <c r="E712" t="s">
        <v>25</v>
      </c>
    </row>
    <row r="713" spans="1:5">
      <c r="A713" t="s">
        <v>713</v>
      </c>
      <c r="B713" t="s">
        <v>726</v>
      </c>
      <c r="C713" t="s">
        <v>8</v>
      </c>
      <c r="D713" s="20">
        <v>437360</v>
      </c>
      <c r="E713" t="s">
        <v>25</v>
      </c>
    </row>
    <row r="714" spans="1:5" hidden="1">
      <c r="A714" t="s">
        <v>713</v>
      </c>
      <c r="B714" t="s">
        <v>727</v>
      </c>
      <c r="C714" t="s">
        <v>8</v>
      </c>
    </row>
    <row r="715" spans="1:5" hidden="1">
      <c r="A715" t="s">
        <v>713</v>
      </c>
      <c r="B715" t="s">
        <v>728</v>
      </c>
      <c r="C715" t="s">
        <v>8</v>
      </c>
    </row>
    <row r="716" spans="1:5" hidden="1">
      <c r="A716" t="s">
        <v>713</v>
      </c>
      <c r="B716" t="s">
        <v>729</v>
      </c>
      <c r="C716" t="s">
        <v>8</v>
      </c>
    </row>
    <row r="717" spans="1:5" hidden="1">
      <c r="A717" t="s">
        <v>713</v>
      </c>
      <c r="B717" t="s">
        <v>730</v>
      </c>
      <c r="C717" t="s">
        <v>8</v>
      </c>
    </row>
    <row r="718" spans="1:5" hidden="1">
      <c r="A718" t="s">
        <v>713</v>
      </c>
      <c r="B718" t="s">
        <v>731</v>
      </c>
      <c r="C718" t="s">
        <v>8</v>
      </c>
    </row>
    <row r="719" spans="1:5">
      <c r="A719" t="s">
        <v>713</v>
      </c>
      <c r="B719" t="s">
        <v>732</v>
      </c>
      <c r="C719" t="s">
        <v>8</v>
      </c>
      <c r="D719" s="20">
        <v>264684</v>
      </c>
      <c r="E719" t="s">
        <v>25</v>
      </c>
    </row>
    <row r="720" spans="1:5" hidden="1">
      <c r="A720" t="s">
        <v>713</v>
      </c>
      <c r="B720" t="s">
        <v>733</v>
      </c>
      <c r="C720" t="s">
        <v>8</v>
      </c>
    </row>
    <row r="721" spans="1:5" hidden="1">
      <c r="A721" t="s">
        <v>713</v>
      </c>
      <c r="B721" t="s">
        <v>734</v>
      </c>
      <c r="C721" t="s">
        <v>8</v>
      </c>
    </row>
    <row r="722" spans="1:5">
      <c r="A722" t="s">
        <v>713</v>
      </c>
      <c r="B722" t="s">
        <v>735</v>
      </c>
      <c r="C722" t="s">
        <v>8</v>
      </c>
      <c r="D722" s="19">
        <v>12000</v>
      </c>
      <c r="E722" t="s">
        <v>19</v>
      </c>
    </row>
    <row r="723" spans="1:5" hidden="1">
      <c r="A723" t="s">
        <v>713</v>
      </c>
      <c r="B723" t="s">
        <v>736</v>
      </c>
      <c r="C723" t="s">
        <v>8</v>
      </c>
    </row>
    <row r="724" spans="1:5" hidden="1">
      <c r="A724" t="s">
        <v>713</v>
      </c>
      <c r="B724" t="s">
        <v>737</v>
      </c>
      <c r="C724" t="s">
        <v>8</v>
      </c>
    </row>
    <row r="725" spans="1:5">
      <c r="A725" t="s">
        <v>713</v>
      </c>
      <c r="B725" t="s">
        <v>738</v>
      </c>
      <c r="C725" t="s">
        <v>8</v>
      </c>
      <c r="D725" s="20">
        <v>26808</v>
      </c>
      <c r="E725" t="s">
        <v>25</v>
      </c>
    </row>
    <row r="726" spans="1:5" hidden="1">
      <c r="A726" t="s">
        <v>713</v>
      </c>
      <c r="B726" t="s">
        <v>739</v>
      </c>
      <c r="C726" t="s">
        <v>8</v>
      </c>
    </row>
    <row r="727" spans="1:5" hidden="1">
      <c r="A727" t="s">
        <v>713</v>
      </c>
      <c r="B727" t="s">
        <v>740</v>
      </c>
      <c r="C727" t="s">
        <v>8</v>
      </c>
    </row>
    <row r="728" spans="1:5" hidden="1">
      <c r="A728" t="s">
        <v>713</v>
      </c>
      <c r="B728" t="s">
        <v>741</v>
      </c>
      <c r="C728" t="s">
        <v>8</v>
      </c>
    </row>
    <row r="729" spans="1:5" hidden="1">
      <c r="A729" t="s">
        <v>713</v>
      </c>
      <c r="B729" t="s">
        <v>742</v>
      </c>
      <c r="C729" t="s">
        <v>8</v>
      </c>
    </row>
    <row r="730" spans="1:5" hidden="1">
      <c r="A730" t="s">
        <v>713</v>
      </c>
      <c r="B730" t="s">
        <v>743</v>
      </c>
      <c r="C730" t="s">
        <v>8</v>
      </c>
    </row>
    <row r="731" spans="1:5" hidden="1">
      <c r="A731" t="s">
        <v>713</v>
      </c>
      <c r="B731" t="s">
        <v>744</v>
      </c>
      <c r="C731" t="s">
        <v>8</v>
      </c>
    </row>
    <row r="732" spans="1:5" hidden="1">
      <c r="A732" t="s">
        <v>713</v>
      </c>
      <c r="B732" t="s">
        <v>745</v>
      </c>
      <c r="C732" t="s">
        <v>8</v>
      </c>
    </row>
    <row r="733" spans="1:5" hidden="1">
      <c r="A733" t="s">
        <v>713</v>
      </c>
      <c r="B733" t="s">
        <v>746</v>
      </c>
      <c r="C733" t="s">
        <v>8</v>
      </c>
    </row>
    <row r="734" spans="1:5" hidden="1">
      <c r="A734" t="s">
        <v>713</v>
      </c>
      <c r="B734" t="s">
        <v>747</v>
      </c>
      <c r="C734" t="s">
        <v>8</v>
      </c>
    </row>
    <row r="735" spans="1:5">
      <c r="A735" t="s">
        <v>713</v>
      </c>
      <c r="B735" t="s">
        <v>748</v>
      </c>
      <c r="C735" t="s">
        <v>8</v>
      </c>
      <c r="D735" s="20">
        <v>37106.22</v>
      </c>
      <c r="E735" t="s">
        <v>25</v>
      </c>
    </row>
    <row r="736" spans="1:5" hidden="1">
      <c r="A736" t="s">
        <v>713</v>
      </c>
      <c r="B736" t="s">
        <v>749</v>
      </c>
      <c r="C736" t="s">
        <v>8</v>
      </c>
    </row>
    <row r="737" spans="1:5" hidden="1">
      <c r="A737" t="s">
        <v>713</v>
      </c>
      <c r="B737" t="s">
        <v>750</v>
      </c>
      <c r="C737" t="s">
        <v>8</v>
      </c>
    </row>
    <row r="738" spans="1:5" hidden="1">
      <c r="A738" t="s">
        <v>713</v>
      </c>
      <c r="B738" t="s">
        <v>751</v>
      </c>
      <c r="C738" t="s">
        <v>8</v>
      </c>
    </row>
    <row r="739" spans="1:5">
      <c r="A739" t="s">
        <v>713</v>
      </c>
      <c r="B739" t="s">
        <v>752</v>
      </c>
      <c r="C739" t="s">
        <v>8</v>
      </c>
      <c r="D739" s="20">
        <v>241546</v>
      </c>
      <c r="E739" t="s">
        <v>25</v>
      </c>
    </row>
    <row r="740" spans="1:5" hidden="1">
      <c r="A740" t="s">
        <v>713</v>
      </c>
      <c r="B740" t="s">
        <v>753</v>
      </c>
      <c r="C740" t="s">
        <v>8</v>
      </c>
    </row>
    <row r="741" spans="1:5" hidden="1">
      <c r="A741" t="s">
        <v>713</v>
      </c>
      <c r="B741" t="s">
        <v>754</v>
      </c>
      <c r="C741" t="s">
        <v>8</v>
      </c>
    </row>
    <row r="742" spans="1:5" hidden="1">
      <c r="A742" t="s">
        <v>713</v>
      </c>
      <c r="B742" t="s">
        <v>755</v>
      </c>
      <c r="C742" t="s">
        <v>8</v>
      </c>
    </row>
    <row r="743" spans="1:5" hidden="1">
      <c r="A743" t="s">
        <v>713</v>
      </c>
      <c r="B743" t="s">
        <v>756</v>
      </c>
      <c r="C743" t="s">
        <v>8</v>
      </c>
    </row>
    <row r="744" spans="1:5" hidden="1">
      <c r="A744" t="s">
        <v>713</v>
      </c>
      <c r="B744" t="s">
        <v>757</v>
      </c>
      <c r="C744" t="s">
        <v>8</v>
      </c>
    </row>
    <row r="745" spans="1:5" hidden="1">
      <c r="A745" t="s">
        <v>713</v>
      </c>
      <c r="B745" t="s">
        <v>758</v>
      </c>
      <c r="C745" t="s">
        <v>8</v>
      </c>
    </row>
    <row r="746" spans="1:5">
      <c r="A746" t="s">
        <v>713</v>
      </c>
      <c r="B746" t="s">
        <v>759</v>
      </c>
      <c r="C746" t="s">
        <v>8</v>
      </c>
      <c r="D746" s="20">
        <v>165847</v>
      </c>
      <c r="E746" t="s">
        <v>25</v>
      </c>
    </row>
    <row r="747" spans="1:5" hidden="1">
      <c r="A747" t="s">
        <v>713</v>
      </c>
      <c r="B747" t="s">
        <v>760</v>
      </c>
      <c r="C747" t="s">
        <v>8</v>
      </c>
    </row>
    <row r="748" spans="1:5" hidden="1">
      <c r="A748" t="s">
        <v>713</v>
      </c>
      <c r="B748" t="s">
        <v>761</v>
      </c>
      <c r="C748" t="s">
        <v>8</v>
      </c>
    </row>
    <row r="749" spans="1:5">
      <c r="A749" t="s">
        <v>713</v>
      </c>
      <c r="B749" t="s">
        <v>762</v>
      </c>
      <c r="C749" t="s">
        <v>8</v>
      </c>
      <c r="D749" s="20">
        <v>446004</v>
      </c>
      <c r="E749" t="s">
        <v>25</v>
      </c>
    </row>
    <row r="750" spans="1:5" hidden="1">
      <c r="A750" t="s">
        <v>713</v>
      </c>
      <c r="B750" t="s">
        <v>763</v>
      </c>
      <c r="C750" t="s">
        <v>8</v>
      </c>
    </row>
    <row r="751" spans="1:5" hidden="1">
      <c r="A751" t="s">
        <v>713</v>
      </c>
      <c r="B751" t="s">
        <v>764</v>
      </c>
      <c r="C751" t="s">
        <v>8</v>
      </c>
    </row>
    <row r="752" spans="1:5" hidden="1">
      <c r="A752" t="s">
        <v>713</v>
      </c>
      <c r="B752" t="s">
        <v>765</v>
      </c>
      <c r="C752" t="s">
        <v>8</v>
      </c>
    </row>
    <row r="753" spans="1:5">
      <c r="A753" t="s">
        <v>713</v>
      </c>
      <c r="B753" t="s">
        <v>766</v>
      </c>
      <c r="C753" t="s">
        <v>8</v>
      </c>
      <c r="D753" s="20">
        <v>1363608</v>
      </c>
      <c r="E753" t="s">
        <v>19</v>
      </c>
    </row>
    <row r="754" spans="1:5" hidden="1">
      <c r="A754" t="s">
        <v>713</v>
      </c>
      <c r="B754" t="s">
        <v>767</v>
      </c>
      <c r="C754" t="s">
        <v>8</v>
      </c>
    </row>
    <row r="755" spans="1:5" hidden="1">
      <c r="A755" t="s">
        <v>713</v>
      </c>
      <c r="B755" t="s">
        <v>768</v>
      </c>
      <c r="C755" t="s">
        <v>8</v>
      </c>
    </row>
    <row r="756" spans="1:5" hidden="1">
      <c r="A756" t="s">
        <v>713</v>
      </c>
      <c r="B756" t="s">
        <v>769</v>
      </c>
      <c r="C756" t="s">
        <v>8</v>
      </c>
    </row>
    <row r="757" spans="1:5" hidden="1">
      <c r="A757" t="s">
        <v>713</v>
      </c>
      <c r="B757" t="s">
        <v>770</v>
      </c>
      <c r="C757" t="s">
        <v>8</v>
      </c>
    </row>
    <row r="758" spans="1:5" hidden="1">
      <c r="A758" t="s">
        <v>713</v>
      </c>
      <c r="B758" t="s">
        <v>771</v>
      </c>
      <c r="C758" t="s">
        <v>8</v>
      </c>
    </row>
    <row r="759" spans="1:5" hidden="1">
      <c r="A759" t="s">
        <v>713</v>
      </c>
      <c r="B759" t="s">
        <v>772</v>
      </c>
      <c r="C759" t="s">
        <v>8</v>
      </c>
    </row>
    <row r="760" spans="1:5" hidden="1">
      <c r="A760" t="s">
        <v>713</v>
      </c>
      <c r="B760" t="s">
        <v>773</v>
      </c>
      <c r="C760" t="s">
        <v>8</v>
      </c>
    </row>
    <row r="761" spans="1:5" hidden="1">
      <c r="A761" t="s">
        <v>713</v>
      </c>
      <c r="B761" t="s">
        <v>774</v>
      </c>
      <c r="C761" t="s">
        <v>139</v>
      </c>
    </row>
    <row r="762" spans="1:5">
      <c r="A762" t="s">
        <v>713</v>
      </c>
      <c r="B762" t="s">
        <v>775</v>
      </c>
      <c r="C762" t="s">
        <v>8</v>
      </c>
      <c r="D762" s="20">
        <v>369610</v>
      </c>
      <c r="E762" t="s">
        <v>25</v>
      </c>
    </row>
    <row r="763" spans="1:5">
      <c r="A763" t="s">
        <v>713</v>
      </c>
      <c r="B763" t="s">
        <v>776</v>
      </c>
      <c r="C763" t="s">
        <v>8</v>
      </c>
      <c r="D763" s="20">
        <v>36879</v>
      </c>
      <c r="E763" t="s">
        <v>19</v>
      </c>
    </row>
    <row r="764" spans="1:5">
      <c r="A764" t="s">
        <v>713</v>
      </c>
      <c r="B764" t="s">
        <v>777</v>
      </c>
      <c r="C764" t="s">
        <v>8</v>
      </c>
      <c r="D764" s="20">
        <v>1214</v>
      </c>
      <c r="E764" t="s">
        <v>19</v>
      </c>
    </row>
    <row r="765" spans="1:5">
      <c r="A765" t="s">
        <v>713</v>
      </c>
      <c r="B765" t="s">
        <v>778</v>
      </c>
      <c r="C765" t="s">
        <v>8</v>
      </c>
      <c r="D765" s="20">
        <v>2150</v>
      </c>
      <c r="E765" t="s">
        <v>19</v>
      </c>
    </row>
    <row r="766" spans="1:5">
      <c r="A766" t="s">
        <v>713</v>
      </c>
      <c r="B766" t="s">
        <v>779</v>
      </c>
      <c r="C766" t="s">
        <v>8</v>
      </c>
      <c r="D766" s="20">
        <v>35865</v>
      </c>
      <c r="E766" t="s">
        <v>25</v>
      </c>
    </row>
    <row r="767" spans="1:5">
      <c r="A767" t="s">
        <v>713</v>
      </c>
      <c r="B767" t="s">
        <v>780</v>
      </c>
      <c r="C767" t="s">
        <v>8</v>
      </c>
      <c r="D767" s="20">
        <v>35637</v>
      </c>
      <c r="E767" t="s">
        <v>25</v>
      </c>
    </row>
    <row r="768" spans="1:5">
      <c r="A768" t="s">
        <v>713</v>
      </c>
      <c r="B768" t="s">
        <v>781</v>
      </c>
      <c r="C768" t="s">
        <v>8</v>
      </c>
      <c r="D768" s="20">
        <v>498600</v>
      </c>
      <c r="E768" t="s">
        <v>25</v>
      </c>
    </row>
    <row r="769" spans="1:5" hidden="1">
      <c r="A769" t="s">
        <v>713</v>
      </c>
      <c r="B769" t="s">
        <v>782</v>
      </c>
      <c r="C769" t="s">
        <v>8</v>
      </c>
    </row>
    <row r="770" spans="1:5">
      <c r="A770" t="s">
        <v>713</v>
      </c>
      <c r="B770" t="s">
        <v>783</v>
      </c>
      <c r="C770" t="s">
        <v>8</v>
      </c>
      <c r="D770" s="20">
        <v>329810</v>
      </c>
      <c r="E770" t="s">
        <v>25</v>
      </c>
    </row>
    <row r="771" spans="1:5">
      <c r="A771" t="s">
        <v>713</v>
      </c>
      <c r="B771" t="s">
        <v>784</v>
      </c>
      <c r="C771" t="s">
        <v>8</v>
      </c>
      <c r="D771" s="20">
        <v>10007</v>
      </c>
      <c r="E771" t="s">
        <v>25</v>
      </c>
    </row>
    <row r="772" spans="1:5" hidden="1">
      <c r="A772" t="s">
        <v>713</v>
      </c>
      <c r="B772" t="s">
        <v>785</v>
      </c>
      <c r="C772" t="s">
        <v>8</v>
      </c>
    </row>
    <row r="773" spans="1:5" hidden="1">
      <c r="A773" t="s">
        <v>713</v>
      </c>
      <c r="B773" t="s">
        <v>786</v>
      </c>
      <c r="C773" t="s">
        <v>8</v>
      </c>
    </row>
    <row r="774" spans="1:5">
      <c r="A774" t="s">
        <v>713</v>
      </c>
      <c r="B774" t="s">
        <v>787</v>
      </c>
      <c r="C774" t="s">
        <v>8</v>
      </c>
      <c r="D774" s="20">
        <v>119116.04</v>
      </c>
      <c r="E774" t="s">
        <v>25</v>
      </c>
    </row>
    <row r="775" spans="1:5">
      <c r="A775" t="s">
        <v>713</v>
      </c>
      <c r="B775" t="s">
        <v>788</v>
      </c>
      <c r="C775" t="s">
        <v>8</v>
      </c>
      <c r="D775" s="20">
        <v>17370</v>
      </c>
      <c r="E775" t="s">
        <v>25</v>
      </c>
    </row>
    <row r="776" spans="1:5">
      <c r="A776" t="s">
        <v>713</v>
      </c>
      <c r="B776" t="s">
        <v>789</v>
      </c>
      <c r="C776" t="s">
        <v>8</v>
      </c>
      <c r="D776" s="20">
        <v>4354</v>
      </c>
      <c r="E776" t="s">
        <v>19</v>
      </c>
    </row>
    <row r="777" spans="1:5" hidden="1">
      <c r="A777" t="s">
        <v>713</v>
      </c>
      <c r="B777" t="s">
        <v>790</v>
      </c>
      <c r="C777" t="s">
        <v>8</v>
      </c>
    </row>
    <row r="778" spans="1:5">
      <c r="A778" t="s">
        <v>713</v>
      </c>
      <c r="B778" t="s">
        <v>791</v>
      </c>
      <c r="C778" t="s">
        <v>8</v>
      </c>
      <c r="D778" s="20">
        <v>38061</v>
      </c>
      <c r="E778" t="s">
        <v>19</v>
      </c>
    </row>
    <row r="779" spans="1:5" hidden="1">
      <c r="A779" t="s">
        <v>713</v>
      </c>
      <c r="B779" t="s">
        <v>792</v>
      </c>
      <c r="C779" t="s">
        <v>8</v>
      </c>
    </row>
    <row r="780" spans="1:5">
      <c r="A780" t="s">
        <v>713</v>
      </c>
      <c r="B780" t="s">
        <v>793</v>
      </c>
      <c r="C780" t="s">
        <v>8</v>
      </c>
      <c r="D780" s="20">
        <v>44079</v>
      </c>
      <c r="E780" t="s">
        <v>25</v>
      </c>
    </row>
    <row r="781" spans="1:5" hidden="1">
      <c r="A781" t="s">
        <v>713</v>
      </c>
      <c r="B781" t="s">
        <v>794</v>
      </c>
      <c r="C781" t="s">
        <v>8</v>
      </c>
    </row>
    <row r="782" spans="1:5" hidden="1">
      <c r="A782" t="s">
        <v>713</v>
      </c>
      <c r="B782" t="s">
        <v>795</v>
      </c>
      <c r="C782" t="s">
        <v>8</v>
      </c>
    </row>
    <row r="783" spans="1:5">
      <c r="A783" t="s">
        <v>713</v>
      </c>
      <c r="B783" t="s">
        <v>796</v>
      </c>
      <c r="C783" t="s">
        <v>8</v>
      </c>
      <c r="D783" s="20">
        <v>21020</v>
      </c>
      <c r="E783" t="s">
        <v>25</v>
      </c>
    </row>
    <row r="784" spans="1:5">
      <c r="A784" t="s">
        <v>713</v>
      </c>
      <c r="B784" t="s">
        <v>797</v>
      </c>
      <c r="C784" t="s">
        <v>8</v>
      </c>
      <c r="D784" s="20">
        <v>7522202</v>
      </c>
      <c r="E784" t="s">
        <v>25</v>
      </c>
    </row>
    <row r="785" spans="1:5">
      <c r="A785" t="s">
        <v>713</v>
      </c>
      <c r="B785" t="s">
        <v>798</v>
      </c>
      <c r="C785" t="s">
        <v>8</v>
      </c>
      <c r="D785" s="20">
        <v>22146539.860000014</v>
      </c>
      <c r="E785" t="s">
        <v>25</v>
      </c>
    </row>
    <row r="786" spans="1:5" hidden="1">
      <c r="A786" t="s">
        <v>713</v>
      </c>
      <c r="B786" t="s">
        <v>799</v>
      </c>
      <c r="C786" t="s">
        <v>8</v>
      </c>
    </row>
    <row r="787" spans="1:5" hidden="1">
      <c r="A787" t="s">
        <v>713</v>
      </c>
      <c r="B787" t="s">
        <v>800</v>
      </c>
      <c r="C787" t="s">
        <v>8</v>
      </c>
    </row>
    <row r="788" spans="1:5">
      <c r="A788" t="s">
        <v>713</v>
      </c>
      <c r="B788" t="s">
        <v>801</v>
      </c>
      <c r="C788" t="s">
        <v>8</v>
      </c>
      <c r="D788" s="20">
        <v>41350.6</v>
      </c>
      <c r="E788" t="s">
        <v>25</v>
      </c>
    </row>
    <row r="789" spans="1:5">
      <c r="A789" t="s">
        <v>713</v>
      </c>
      <c r="B789" t="s">
        <v>802</v>
      </c>
      <c r="C789" t="s">
        <v>8</v>
      </c>
      <c r="D789" s="20">
        <v>147135</v>
      </c>
      <c r="E789" t="s">
        <v>19</v>
      </c>
    </row>
    <row r="790" spans="1:5" hidden="1">
      <c r="A790" t="s">
        <v>713</v>
      </c>
      <c r="B790" t="s">
        <v>803</v>
      </c>
      <c r="C790" t="s">
        <v>8</v>
      </c>
    </row>
    <row r="791" spans="1:5" hidden="1">
      <c r="A791" t="s">
        <v>713</v>
      </c>
      <c r="B791" t="s">
        <v>804</v>
      </c>
      <c r="C791" t="s">
        <v>8</v>
      </c>
    </row>
    <row r="792" spans="1:5">
      <c r="A792" t="s">
        <v>713</v>
      </c>
      <c r="B792" t="s">
        <v>805</v>
      </c>
      <c r="C792" t="s">
        <v>8</v>
      </c>
      <c r="D792" s="20">
        <v>53819208</v>
      </c>
      <c r="E792" t="s">
        <v>25</v>
      </c>
    </row>
    <row r="793" spans="1:5" hidden="1">
      <c r="A793" t="s">
        <v>713</v>
      </c>
      <c r="B793" t="s">
        <v>806</v>
      </c>
      <c r="C793" t="s">
        <v>8</v>
      </c>
    </row>
    <row r="794" spans="1:5">
      <c r="A794" t="s">
        <v>713</v>
      </c>
      <c r="B794" t="s">
        <v>807</v>
      </c>
      <c r="C794" t="s">
        <v>8</v>
      </c>
      <c r="D794" s="20">
        <v>309356</v>
      </c>
      <c r="E794" t="s">
        <v>25</v>
      </c>
    </row>
    <row r="795" spans="1:5" hidden="1">
      <c r="A795" t="s">
        <v>713</v>
      </c>
      <c r="B795" t="s">
        <v>808</v>
      </c>
      <c r="C795" t="s">
        <v>8</v>
      </c>
    </row>
    <row r="796" spans="1:5">
      <c r="A796" t="s">
        <v>713</v>
      </c>
      <c r="B796" t="s">
        <v>809</v>
      </c>
      <c r="C796" t="s">
        <v>8</v>
      </c>
      <c r="D796" s="20">
        <v>41521.279999999999</v>
      </c>
      <c r="E796" t="s">
        <v>25</v>
      </c>
    </row>
    <row r="797" spans="1:5" hidden="1">
      <c r="A797" t="s">
        <v>713</v>
      </c>
      <c r="B797" t="s">
        <v>810</v>
      </c>
      <c r="C797" t="s">
        <v>8</v>
      </c>
    </row>
    <row r="798" spans="1:5">
      <c r="A798" t="s">
        <v>713</v>
      </c>
      <c r="B798" t="s">
        <v>811</v>
      </c>
      <c r="C798" t="s">
        <v>8</v>
      </c>
      <c r="D798" s="19">
        <v>30000</v>
      </c>
      <c r="E798" t="s">
        <v>19</v>
      </c>
    </row>
    <row r="799" spans="1:5" hidden="1">
      <c r="A799" t="s">
        <v>713</v>
      </c>
      <c r="B799" t="s">
        <v>812</v>
      </c>
      <c r="C799" t="s">
        <v>8</v>
      </c>
    </row>
    <row r="800" spans="1:5" hidden="1">
      <c r="A800" t="s">
        <v>713</v>
      </c>
      <c r="B800" t="s">
        <v>813</v>
      </c>
      <c r="C800" t="s">
        <v>8</v>
      </c>
    </row>
    <row r="801" spans="1:5" hidden="1">
      <c r="A801" t="s">
        <v>713</v>
      </c>
      <c r="B801" t="s">
        <v>814</v>
      </c>
      <c r="C801" t="s">
        <v>8</v>
      </c>
    </row>
    <row r="802" spans="1:5">
      <c r="A802" t="s">
        <v>713</v>
      </c>
      <c r="B802" t="s">
        <v>815</v>
      </c>
      <c r="C802" t="s">
        <v>8</v>
      </c>
      <c r="D802" s="20">
        <v>2030</v>
      </c>
      <c r="E802" t="s">
        <v>25</v>
      </c>
    </row>
    <row r="803" spans="1:5" hidden="1">
      <c r="A803" t="s">
        <v>713</v>
      </c>
      <c r="B803" t="s">
        <v>816</v>
      </c>
      <c r="C803" t="s">
        <v>8</v>
      </c>
    </row>
    <row r="804" spans="1:5" hidden="1">
      <c r="A804" t="s">
        <v>713</v>
      </c>
      <c r="B804" t="s">
        <v>817</v>
      </c>
      <c r="C804" t="s">
        <v>8</v>
      </c>
    </row>
    <row r="805" spans="1:5" hidden="1">
      <c r="A805" t="s">
        <v>713</v>
      </c>
      <c r="B805" t="s">
        <v>818</v>
      </c>
      <c r="C805" t="s">
        <v>8</v>
      </c>
    </row>
    <row r="806" spans="1:5" hidden="1">
      <c r="A806" t="s">
        <v>713</v>
      </c>
      <c r="B806" t="s">
        <v>819</v>
      </c>
      <c r="C806" t="s">
        <v>8</v>
      </c>
    </row>
    <row r="807" spans="1:5" hidden="1">
      <c r="A807" t="s">
        <v>713</v>
      </c>
      <c r="B807" t="s">
        <v>820</v>
      </c>
      <c r="C807" t="s">
        <v>8</v>
      </c>
    </row>
    <row r="808" spans="1:5">
      <c r="A808" t="s">
        <v>713</v>
      </c>
      <c r="B808" t="s">
        <v>821</v>
      </c>
      <c r="C808" t="s">
        <v>8</v>
      </c>
      <c r="D808" s="20">
        <v>175193</v>
      </c>
      <c r="E808" t="s">
        <v>25</v>
      </c>
    </row>
    <row r="809" spans="1:5" hidden="1">
      <c r="A809" t="s">
        <v>713</v>
      </c>
      <c r="B809" t="s">
        <v>822</v>
      </c>
      <c r="C809" t="s">
        <v>8</v>
      </c>
    </row>
    <row r="810" spans="1:5" hidden="1">
      <c r="A810" t="s">
        <v>713</v>
      </c>
      <c r="B810" t="s">
        <v>823</v>
      </c>
      <c r="C810" t="s">
        <v>8</v>
      </c>
    </row>
    <row r="811" spans="1:5" hidden="1">
      <c r="A811" t="s">
        <v>713</v>
      </c>
      <c r="B811" t="s">
        <v>824</v>
      </c>
      <c r="C811" t="s">
        <v>8</v>
      </c>
    </row>
    <row r="812" spans="1:5" hidden="1">
      <c r="A812" t="s">
        <v>713</v>
      </c>
      <c r="B812" t="s">
        <v>825</v>
      </c>
      <c r="C812" t="s">
        <v>8</v>
      </c>
    </row>
    <row r="813" spans="1:5">
      <c r="A813" t="s">
        <v>713</v>
      </c>
      <c r="B813" t="s">
        <v>826</v>
      </c>
      <c r="C813" t="s">
        <v>8</v>
      </c>
      <c r="D813" s="20">
        <v>10000</v>
      </c>
      <c r="E813" t="s">
        <v>25</v>
      </c>
    </row>
    <row r="814" spans="1:5">
      <c r="A814" t="s">
        <v>713</v>
      </c>
      <c r="B814" t="s">
        <v>827</v>
      </c>
      <c r="C814" t="s">
        <v>8</v>
      </c>
      <c r="D814" s="20">
        <v>4587604.8</v>
      </c>
      <c r="E814" t="s">
        <v>25</v>
      </c>
    </row>
    <row r="815" spans="1:5">
      <c r="A815" t="s">
        <v>713</v>
      </c>
      <c r="B815" t="s">
        <v>828</v>
      </c>
      <c r="C815" t="s">
        <v>8</v>
      </c>
      <c r="D815" s="20">
        <v>534800</v>
      </c>
      <c r="E815" t="s">
        <v>25</v>
      </c>
    </row>
    <row r="816" spans="1:5">
      <c r="A816" t="s">
        <v>713</v>
      </c>
      <c r="B816" t="s">
        <v>829</v>
      </c>
      <c r="C816" t="s">
        <v>8</v>
      </c>
      <c r="D816" s="20">
        <v>13275</v>
      </c>
      <c r="E816" t="s">
        <v>25</v>
      </c>
    </row>
    <row r="817" spans="1:5" hidden="1">
      <c r="A817" t="s">
        <v>713</v>
      </c>
      <c r="B817" t="s">
        <v>830</v>
      </c>
      <c r="C817" t="s">
        <v>8</v>
      </c>
    </row>
    <row r="818" spans="1:5" hidden="1">
      <c r="A818" t="s">
        <v>713</v>
      </c>
      <c r="B818" t="s">
        <v>831</v>
      </c>
      <c r="C818" t="s">
        <v>8</v>
      </c>
    </row>
    <row r="819" spans="1:5" hidden="1">
      <c r="A819" t="s">
        <v>713</v>
      </c>
      <c r="B819" t="s">
        <v>832</v>
      </c>
      <c r="C819" t="s">
        <v>8</v>
      </c>
    </row>
    <row r="820" spans="1:5">
      <c r="A820" t="s">
        <v>713</v>
      </c>
      <c r="B820" t="s">
        <v>833</v>
      </c>
      <c r="C820" t="s">
        <v>8</v>
      </c>
      <c r="D820" s="20">
        <v>18880</v>
      </c>
      <c r="E820" t="s">
        <v>25</v>
      </c>
    </row>
    <row r="821" spans="1:5" hidden="1">
      <c r="A821" t="s">
        <v>713</v>
      </c>
      <c r="B821" t="s">
        <v>834</v>
      </c>
      <c r="C821" t="s">
        <v>8</v>
      </c>
    </row>
    <row r="822" spans="1:5">
      <c r="A822" t="s">
        <v>713</v>
      </c>
      <c r="B822" t="s">
        <v>835</v>
      </c>
      <c r="C822" t="s">
        <v>8</v>
      </c>
      <c r="D822" s="20">
        <v>337798.98</v>
      </c>
      <c r="E822" t="s">
        <v>25</v>
      </c>
    </row>
    <row r="823" spans="1:5" hidden="1">
      <c r="A823" t="s">
        <v>713</v>
      </c>
      <c r="B823" t="s">
        <v>836</v>
      </c>
      <c r="C823" t="s">
        <v>8</v>
      </c>
    </row>
    <row r="824" spans="1:5">
      <c r="A824" t="s">
        <v>713</v>
      </c>
      <c r="B824" t="s">
        <v>837</v>
      </c>
      <c r="C824" t="s">
        <v>8</v>
      </c>
      <c r="D824" s="20">
        <v>1158652</v>
      </c>
      <c r="E824" t="s">
        <v>25</v>
      </c>
    </row>
    <row r="825" spans="1:5" hidden="1">
      <c r="A825" t="s">
        <v>713</v>
      </c>
      <c r="B825" t="s">
        <v>838</v>
      </c>
      <c r="C825" t="s">
        <v>8</v>
      </c>
    </row>
    <row r="826" spans="1:5">
      <c r="A826" t="s">
        <v>713</v>
      </c>
      <c r="B826" t="s">
        <v>839</v>
      </c>
      <c r="C826" t="s">
        <v>8</v>
      </c>
      <c r="D826" s="20">
        <v>2592.36</v>
      </c>
      <c r="E826" t="s">
        <v>19</v>
      </c>
    </row>
    <row r="827" spans="1:5" hidden="1">
      <c r="A827" t="s">
        <v>713</v>
      </c>
      <c r="B827" t="s">
        <v>840</v>
      </c>
      <c r="C827" t="s">
        <v>8</v>
      </c>
    </row>
    <row r="828" spans="1:5">
      <c r="A828" t="s">
        <v>713</v>
      </c>
      <c r="B828" t="s">
        <v>841</v>
      </c>
      <c r="C828" t="s">
        <v>8</v>
      </c>
      <c r="D828" s="20">
        <v>524153</v>
      </c>
      <c r="E828" t="s">
        <v>25</v>
      </c>
    </row>
    <row r="829" spans="1:5">
      <c r="A829" t="s">
        <v>713</v>
      </c>
      <c r="B829" t="s">
        <v>842</v>
      </c>
      <c r="C829" t="s">
        <v>8</v>
      </c>
      <c r="D829" s="20">
        <v>692306</v>
      </c>
      <c r="E829" t="s">
        <v>25</v>
      </c>
    </row>
    <row r="830" spans="1:5">
      <c r="A830" t="s">
        <v>713</v>
      </c>
      <c r="B830" t="s">
        <v>843</v>
      </c>
      <c r="C830" t="s">
        <v>8</v>
      </c>
      <c r="D830" s="20">
        <v>1428</v>
      </c>
      <c r="E830" t="s">
        <v>25</v>
      </c>
    </row>
    <row r="831" spans="1:5" hidden="1">
      <c r="A831" t="s">
        <v>713</v>
      </c>
      <c r="B831" t="s">
        <v>844</v>
      </c>
      <c r="C831" t="s">
        <v>8</v>
      </c>
    </row>
    <row r="832" spans="1:5" hidden="1">
      <c r="A832" t="s">
        <v>713</v>
      </c>
      <c r="B832" t="s">
        <v>845</v>
      </c>
      <c r="C832" t="s">
        <v>8</v>
      </c>
    </row>
    <row r="833" spans="1:5" hidden="1">
      <c r="A833" t="s">
        <v>713</v>
      </c>
      <c r="B833" t="s">
        <v>846</v>
      </c>
      <c r="C833" t="s">
        <v>8</v>
      </c>
    </row>
    <row r="834" spans="1:5" hidden="1">
      <c r="A834" t="s">
        <v>713</v>
      </c>
      <c r="B834" t="s">
        <v>847</v>
      </c>
      <c r="C834" t="s">
        <v>8</v>
      </c>
    </row>
    <row r="835" spans="1:5" hidden="1">
      <c r="A835" t="s">
        <v>713</v>
      </c>
      <c r="B835" t="s">
        <v>848</v>
      </c>
      <c r="C835" t="s">
        <v>8</v>
      </c>
    </row>
    <row r="836" spans="1:5">
      <c r="A836" t="s">
        <v>713</v>
      </c>
      <c r="B836" t="s">
        <v>849</v>
      </c>
      <c r="C836" t="s">
        <v>8</v>
      </c>
      <c r="D836" s="20">
        <v>490390</v>
      </c>
      <c r="E836" t="s">
        <v>25</v>
      </c>
    </row>
    <row r="837" spans="1:5" hidden="1">
      <c r="A837" t="s">
        <v>713</v>
      </c>
      <c r="B837" t="s">
        <v>850</v>
      </c>
      <c r="C837" t="s">
        <v>8</v>
      </c>
    </row>
    <row r="838" spans="1:5" hidden="1">
      <c r="A838" t="s">
        <v>713</v>
      </c>
      <c r="B838" t="s">
        <v>851</v>
      </c>
      <c r="C838" t="s">
        <v>8</v>
      </c>
    </row>
    <row r="839" spans="1:5" hidden="1">
      <c r="A839" t="s">
        <v>713</v>
      </c>
      <c r="B839" t="s">
        <v>852</v>
      </c>
      <c r="C839" t="s">
        <v>8</v>
      </c>
    </row>
    <row r="840" spans="1:5">
      <c r="A840" t="s">
        <v>713</v>
      </c>
      <c r="B840" t="s">
        <v>853</v>
      </c>
      <c r="C840" t="s">
        <v>8</v>
      </c>
      <c r="D840" s="20">
        <v>16074</v>
      </c>
      <c r="E840" t="s">
        <v>25</v>
      </c>
    </row>
    <row r="841" spans="1:5" hidden="1">
      <c r="A841" t="s">
        <v>713</v>
      </c>
      <c r="B841" t="s">
        <v>854</v>
      </c>
      <c r="C841" t="s">
        <v>8</v>
      </c>
    </row>
    <row r="842" spans="1:5" hidden="1">
      <c r="A842" t="s">
        <v>713</v>
      </c>
      <c r="B842" t="s">
        <v>855</v>
      </c>
      <c r="C842" t="s">
        <v>8</v>
      </c>
    </row>
    <row r="843" spans="1:5" hidden="1">
      <c r="A843" t="s">
        <v>713</v>
      </c>
      <c r="B843" t="s">
        <v>856</v>
      </c>
      <c r="C843" t="s">
        <v>8</v>
      </c>
    </row>
    <row r="844" spans="1:5" hidden="1">
      <c r="A844" t="s">
        <v>713</v>
      </c>
      <c r="B844" t="s">
        <v>857</v>
      </c>
      <c r="C844" t="s">
        <v>8</v>
      </c>
    </row>
    <row r="845" spans="1:5" hidden="1">
      <c r="A845" t="s">
        <v>713</v>
      </c>
      <c r="B845" t="s">
        <v>858</v>
      </c>
      <c r="C845" t="s">
        <v>8</v>
      </c>
    </row>
    <row r="846" spans="1:5">
      <c r="A846" t="s">
        <v>713</v>
      </c>
      <c r="B846" t="s">
        <v>859</v>
      </c>
      <c r="C846" t="s">
        <v>8</v>
      </c>
      <c r="D846" s="20">
        <v>56522</v>
      </c>
      <c r="E846" t="s">
        <v>25</v>
      </c>
    </row>
    <row r="847" spans="1:5">
      <c r="A847" t="s">
        <v>713</v>
      </c>
      <c r="B847" t="s">
        <v>860</v>
      </c>
      <c r="C847" t="s">
        <v>8</v>
      </c>
      <c r="D847" s="20">
        <v>58733625</v>
      </c>
      <c r="E847" t="s">
        <v>25</v>
      </c>
    </row>
    <row r="848" spans="1:5" hidden="1">
      <c r="A848" t="s">
        <v>713</v>
      </c>
      <c r="B848" t="s">
        <v>861</v>
      </c>
      <c r="C848" t="s">
        <v>8</v>
      </c>
    </row>
    <row r="849" spans="1:5" hidden="1">
      <c r="A849" t="s">
        <v>713</v>
      </c>
      <c r="B849" t="s">
        <v>862</v>
      </c>
      <c r="C849" t="s">
        <v>8</v>
      </c>
    </row>
    <row r="850" spans="1:5" hidden="1">
      <c r="A850" t="s">
        <v>713</v>
      </c>
      <c r="B850" t="s">
        <v>863</v>
      </c>
      <c r="C850" t="s">
        <v>8</v>
      </c>
    </row>
    <row r="851" spans="1:5" hidden="1">
      <c r="A851" t="s">
        <v>713</v>
      </c>
      <c r="B851" t="s">
        <v>864</v>
      </c>
      <c r="C851" t="s">
        <v>8</v>
      </c>
    </row>
    <row r="852" spans="1:5">
      <c r="A852" t="s">
        <v>713</v>
      </c>
      <c r="B852" t="s">
        <v>865</v>
      </c>
      <c r="C852" t="s">
        <v>8</v>
      </c>
      <c r="D852" s="20">
        <f>461679.72-3913-60710.31</f>
        <v>397056.41</v>
      </c>
      <c r="E852" t="s">
        <v>25</v>
      </c>
    </row>
    <row r="853" spans="1:5">
      <c r="A853" t="s">
        <v>713</v>
      </c>
      <c r="B853" t="s">
        <v>866</v>
      </c>
      <c r="C853" t="s">
        <v>8</v>
      </c>
      <c r="D853" s="20">
        <v>52123</v>
      </c>
      <c r="E853" t="s">
        <v>25</v>
      </c>
    </row>
    <row r="854" spans="1:5" hidden="1">
      <c r="A854" t="s">
        <v>713</v>
      </c>
      <c r="B854" t="s">
        <v>867</v>
      </c>
      <c r="C854" t="s">
        <v>8</v>
      </c>
    </row>
    <row r="855" spans="1:5" hidden="1">
      <c r="A855" t="s">
        <v>713</v>
      </c>
      <c r="B855" t="s">
        <v>868</v>
      </c>
      <c r="C855" t="s">
        <v>8</v>
      </c>
    </row>
    <row r="856" spans="1:5" hidden="1">
      <c r="A856" t="s">
        <v>713</v>
      </c>
      <c r="B856" t="s">
        <v>869</v>
      </c>
      <c r="C856" t="s">
        <v>8</v>
      </c>
    </row>
    <row r="857" spans="1:5" hidden="1">
      <c r="A857" t="s">
        <v>713</v>
      </c>
      <c r="B857" t="s">
        <v>870</v>
      </c>
      <c r="C857" t="s">
        <v>8</v>
      </c>
    </row>
    <row r="858" spans="1:5" hidden="1">
      <c r="A858" t="s">
        <v>713</v>
      </c>
      <c r="B858" t="s">
        <v>871</v>
      </c>
      <c r="C858" t="s">
        <v>8</v>
      </c>
    </row>
    <row r="859" spans="1:5" hidden="1">
      <c r="A859" t="s">
        <v>713</v>
      </c>
      <c r="B859" t="s">
        <v>872</v>
      </c>
      <c r="C859" t="s">
        <v>8</v>
      </c>
    </row>
    <row r="860" spans="1:5" hidden="1">
      <c r="A860" t="s">
        <v>713</v>
      </c>
      <c r="B860" t="s">
        <v>873</v>
      </c>
      <c r="C860" t="s">
        <v>8</v>
      </c>
    </row>
    <row r="861" spans="1:5" hidden="1">
      <c r="A861" t="s">
        <v>713</v>
      </c>
      <c r="B861" t="s">
        <v>874</v>
      </c>
      <c r="C861" t="s">
        <v>8</v>
      </c>
    </row>
    <row r="862" spans="1:5">
      <c r="A862" t="s">
        <v>713</v>
      </c>
      <c r="B862" t="s">
        <v>875</v>
      </c>
      <c r="C862" t="s">
        <v>8</v>
      </c>
      <c r="D862" s="20">
        <v>225832</v>
      </c>
      <c r="E862" t="s">
        <v>25</v>
      </c>
    </row>
    <row r="863" spans="1:5">
      <c r="A863" t="s">
        <v>713</v>
      </c>
      <c r="B863" t="s">
        <v>876</v>
      </c>
      <c r="C863" t="s">
        <v>8</v>
      </c>
      <c r="D863" s="20">
        <v>196730</v>
      </c>
      <c r="E863" t="s">
        <v>25</v>
      </c>
    </row>
    <row r="864" spans="1:5">
      <c r="A864" t="s">
        <v>713</v>
      </c>
      <c r="B864" t="s">
        <v>877</v>
      </c>
      <c r="C864" t="s">
        <v>8</v>
      </c>
      <c r="D864" s="20">
        <v>532729.93999999994</v>
      </c>
      <c r="E864" t="s">
        <v>25</v>
      </c>
    </row>
    <row r="865" spans="1:5" hidden="1">
      <c r="A865" t="s">
        <v>713</v>
      </c>
      <c r="B865" t="s">
        <v>878</v>
      </c>
      <c r="C865" t="s">
        <v>8</v>
      </c>
    </row>
    <row r="866" spans="1:5">
      <c r="A866" t="s">
        <v>713</v>
      </c>
      <c r="B866" t="s">
        <v>879</v>
      </c>
      <c r="C866" t="s">
        <v>8</v>
      </c>
      <c r="D866" s="20">
        <v>65027</v>
      </c>
      <c r="E866" t="s">
        <v>25</v>
      </c>
    </row>
    <row r="867" spans="1:5">
      <c r="A867" t="s">
        <v>713</v>
      </c>
      <c r="B867" t="s">
        <v>880</v>
      </c>
      <c r="C867" t="s">
        <v>8</v>
      </c>
      <c r="D867" s="20">
        <v>459781</v>
      </c>
      <c r="E867" t="s">
        <v>25</v>
      </c>
    </row>
    <row r="868" spans="1:5" hidden="1">
      <c r="A868" t="s">
        <v>713</v>
      </c>
      <c r="B868" t="s">
        <v>881</v>
      </c>
      <c r="C868" t="s">
        <v>8</v>
      </c>
    </row>
    <row r="869" spans="1:5">
      <c r="A869" t="s">
        <v>713</v>
      </c>
      <c r="B869" t="s">
        <v>882</v>
      </c>
      <c r="C869" t="s">
        <v>8</v>
      </c>
      <c r="D869" s="20">
        <v>1563264</v>
      </c>
      <c r="E869" t="s">
        <v>25</v>
      </c>
    </row>
    <row r="870" spans="1:5">
      <c r="A870" t="s">
        <v>713</v>
      </c>
      <c r="B870" t="s">
        <v>883</v>
      </c>
      <c r="C870" t="s">
        <v>8</v>
      </c>
      <c r="D870" s="20">
        <v>30975</v>
      </c>
      <c r="E870" t="s">
        <v>25</v>
      </c>
    </row>
    <row r="871" spans="1:5" hidden="1">
      <c r="A871" t="s">
        <v>713</v>
      </c>
      <c r="B871" t="s">
        <v>884</v>
      </c>
      <c r="C871" t="s">
        <v>8</v>
      </c>
    </row>
    <row r="872" spans="1:5" hidden="1">
      <c r="A872" t="s">
        <v>713</v>
      </c>
      <c r="B872" t="s">
        <v>885</v>
      </c>
      <c r="C872" t="s">
        <v>8</v>
      </c>
    </row>
    <row r="873" spans="1:5">
      <c r="A873" t="s">
        <v>713</v>
      </c>
      <c r="B873" t="s">
        <v>886</v>
      </c>
      <c r="C873" t="s">
        <v>8</v>
      </c>
      <c r="D873" s="20">
        <v>8800</v>
      </c>
      <c r="E873" t="s">
        <v>25</v>
      </c>
    </row>
    <row r="874" spans="1:5" hidden="1">
      <c r="A874" t="s">
        <v>713</v>
      </c>
      <c r="B874" t="s">
        <v>887</v>
      </c>
      <c r="C874" t="s">
        <v>8</v>
      </c>
    </row>
    <row r="875" spans="1:5" hidden="1">
      <c r="A875" t="s">
        <v>713</v>
      </c>
      <c r="B875" t="s">
        <v>888</v>
      </c>
      <c r="C875" t="s">
        <v>8</v>
      </c>
    </row>
    <row r="876" spans="1:5" hidden="1">
      <c r="A876" t="s">
        <v>713</v>
      </c>
      <c r="B876" t="s">
        <v>889</v>
      </c>
      <c r="C876" t="s">
        <v>8</v>
      </c>
    </row>
    <row r="877" spans="1:5" hidden="1">
      <c r="A877" t="s">
        <v>713</v>
      </c>
      <c r="B877" t="s">
        <v>890</v>
      </c>
      <c r="C877" t="s">
        <v>8</v>
      </c>
    </row>
    <row r="878" spans="1:5">
      <c r="A878" t="s">
        <v>713</v>
      </c>
      <c r="B878" t="s">
        <v>891</v>
      </c>
      <c r="C878" t="s">
        <v>8</v>
      </c>
      <c r="D878" s="20">
        <v>17059055</v>
      </c>
      <c r="E878" t="s">
        <v>25</v>
      </c>
    </row>
    <row r="879" spans="1:5" hidden="1">
      <c r="A879" t="s">
        <v>713</v>
      </c>
      <c r="B879" t="s">
        <v>892</v>
      </c>
      <c r="C879" t="s">
        <v>8</v>
      </c>
    </row>
    <row r="880" spans="1:5">
      <c r="A880" t="s">
        <v>713</v>
      </c>
      <c r="B880" t="s">
        <v>893</v>
      </c>
      <c r="C880" t="s">
        <v>8</v>
      </c>
      <c r="D880" s="20">
        <v>176410</v>
      </c>
      <c r="E880" t="s">
        <v>25</v>
      </c>
    </row>
    <row r="881" spans="1:5" hidden="1">
      <c r="A881" t="s">
        <v>713</v>
      </c>
      <c r="B881" t="s">
        <v>894</v>
      </c>
      <c r="C881" t="s">
        <v>8</v>
      </c>
    </row>
    <row r="882" spans="1:5">
      <c r="A882" t="s">
        <v>713</v>
      </c>
      <c r="B882" t="s">
        <v>895</v>
      </c>
      <c r="C882" t="s">
        <v>8</v>
      </c>
      <c r="D882" s="20">
        <v>3776</v>
      </c>
      <c r="E882" t="s">
        <v>25</v>
      </c>
    </row>
    <row r="883" spans="1:5" hidden="1">
      <c r="A883" t="s">
        <v>713</v>
      </c>
      <c r="B883" t="s">
        <v>896</v>
      </c>
      <c r="C883" t="s">
        <v>8</v>
      </c>
    </row>
    <row r="884" spans="1:5">
      <c r="A884" t="s">
        <v>713</v>
      </c>
      <c r="B884" t="s">
        <v>897</v>
      </c>
      <c r="C884" t="s">
        <v>8</v>
      </c>
      <c r="D884" s="20">
        <v>1104818</v>
      </c>
      <c r="E884" t="s">
        <v>25</v>
      </c>
    </row>
    <row r="885" spans="1:5" hidden="1">
      <c r="A885" t="s">
        <v>713</v>
      </c>
      <c r="B885" t="s">
        <v>898</v>
      </c>
      <c r="C885" t="s">
        <v>8</v>
      </c>
    </row>
    <row r="886" spans="1:5">
      <c r="A886" t="s">
        <v>713</v>
      </c>
      <c r="B886" t="s">
        <v>899</v>
      </c>
      <c r="C886" t="s">
        <v>8</v>
      </c>
      <c r="D886" s="20">
        <v>1798775</v>
      </c>
      <c r="E886" t="s">
        <v>25</v>
      </c>
    </row>
    <row r="887" spans="1:5">
      <c r="A887" t="s">
        <v>713</v>
      </c>
      <c r="B887" t="s">
        <v>900</v>
      </c>
      <c r="C887" t="s">
        <v>8</v>
      </c>
      <c r="D887" s="20">
        <v>7965</v>
      </c>
      <c r="E887" t="s">
        <v>25</v>
      </c>
    </row>
    <row r="888" spans="1:5" hidden="1">
      <c r="A888" t="s">
        <v>713</v>
      </c>
      <c r="B888" t="s">
        <v>901</v>
      </c>
      <c r="C888" t="s">
        <v>8</v>
      </c>
    </row>
    <row r="889" spans="1:5" hidden="1">
      <c r="A889" t="s">
        <v>713</v>
      </c>
      <c r="B889" t="s">
        <v>902</v>
      </c>
      <c r="C889" t="s">
        <v>8</v>
      </c>
    </row>
    <row r="890" spans="1:5" hidden="1">
      <c r="A890" t="s">
        <v>713</v>
      </c>
      <c r="B890" t="s">
        <v>903</v>
      </c>
      <c r="C890" t="s">
        <v>8</v>
      </c>
    </row>
    <row r="891" spans="1:5" hidden="1">
      <c r="A891" t="s">
        <v>713</v>
      </c>
      <c r="B891" t="s">
        <v>904</v>
      </c>
      <c r="C891" t="s">
        <v>8</v>
      </c>
    </row>
    <row r="892" spans="1:5" hidden="1">
      <c r="A892" t="s">
        <v>713</v>
      </c>
      <c r="B892" t="s">
        <v>905</v>
      </c>
      <c r="C892" t="s">
        <v>8</v>
      </c>
    </row>
    <row r="893" spans="1:5" hidden="1">
      <c r="A893" t="s">
        <v>713</v>
      </c>
      <c r="B893" t="s">
        <v>906</v>
      </c>
      <c r="C893" t="s">
        <v>8</v>
      </c>
    </row>
    <row r="894" spans="1:5" hidden="1">
      <c r="A894" t="s">
        <v>713</v>
      </c>
      <c r="B894" t="s">
        <v>907</v>
      </c>
      <c r="C894" t="s">
        <v>8</v>
      </c>
    </row>
    <row r="895" spans="1:5">
      <c r="A895" t="s">
        <v>713</v>
      </c>
      <c r="B895" t="s">
        <v>908</v>
      </c>
      <c r="C895" t="s">
        <v>8</v>
      </c>
      <c r="D895" s="20">
        <v>133714.16</v>
      </c>
      <c r="E895" t="s">
        <v>25</v>
      </c>
    </row>
    <row r="896" spans="1:5">
      <c r="A896" t="s">
        <v>713</v>
      </c>
      <c r="B896" t="s">
        <v>909</v>
      </c>
      <c r="C896" t="s">
        <v>8</v>
      </c>
      <c r="D896" s="20">
        <v>177171</v>
      </c>
      <c r="E896" t="s">
        <v>25</v>
      </c>
    </row>
    <row r="897" spans="1:5">
      <c r="A897" t="s">
        <v>713</v>
      </c>
      <c r="B897" t="s">
        <v>910</v>
      </c>
      <c r="C897" t="s">
        <v>8</v>
      </c>
      <c r="D897" s="20">
        <v>24050</v>
      </c>
      <c r="E897" t="s">
        <v>25</v>
      </c>
    </row>
    <row r="898" spans="1:5">
      <c r="A898" t="s">
        <v>713</v>
      </c>
      <c r="B898" t="s">
        <v>911</v>
      </c>
      <c r="C898" t="s">
        <v>8</v>
      </c>
      <c r="D898" s="20">
        <v>119243</v>
      </c>
      <c r="E898" t="s">
        <v>25</v>
      </c>
    </row>
    <row r="899" spans="1:5" hidden="1">
      <c r="A899" t="s">
        <v>713</v>
      </c>
      <c r="B899" t="s">
        <v>912</v>
      </c>
      <c r="C899" t="s">
        <v>8</v>
      </c>
    </row>
    <row r="900" spans="1:5" hidden="1">
      <c r="A900" t="s">
        <v>713</v>
      </c>
      <c r="B900" t="s">
        <v>913</v>
      </c>
      <c r="C900" t="s">
        <v>8</v>
      </c>
    </row>
    <row r="901" spans="1:5">
      <c r="A901" t="s">
        <v>713</v>
      </c>
      <c r="B901" t="s">
        <v>914</v>
      </c>
      <c r="C901" t="s">
        <v>8</v>
      </c>
      <c r="D901" s="20">
        <v>27415</v>
      </c>
      <c r="E901" t="s">
        <v>25</v>
      </c>
    </row>
    <row r="902" spans="1:5" hidden="1">
      <c r="A902" t="s">
        <v>713</v>
      </c>
      <c r="B902" t="s">
        <v>915</v>
      </c>
      <c r="C902" t="s">
        <v>8</v>
      </c>
    </row>
    <row r="903" spans="1:5" hidden="1">
      <c r="A903" t="s">
        <v>713</v>
      </c>
      <c r="B903" t="s">
        <v>916</v>
      </c>
      <c r="C903" t="s">
        <v>8</v>
      </c>
    </row>
    <row r="904" spans="1:5">
      <c r="A904" t="s">
        <v>713</v>
      </c>
      <c r="B904" t="s">
        <v>917</v>
      </c>
      <c r="C904" t="s">
        <v>8</v>
      </c>
      <c r="D904" s="20">
        <v>16200</v>
      </c>
      <c r="E904" t="s">
        <v>25</v>
      </c>
    </row>
    <row r="905" spans="1:5" hidden="1">
      <c r="A905" t="s">
        <v>713</v>
      </c>
      <c r="B905" t="s">
        <v>918</v>
      </c>
      <c r="C905" t="s">
        <v>8</v>
      </c>
    </row>
    <row r="906" spans="1:5" hidden="1">
      <c r="A906" t="s">
        <v>713</v>
      </c>
      <c r="B906" t="s">
        <v>919</v>
      </c>
      <c r="C906" t="s">
        <v>8</v>
      </c>
    </row>
    <row r="907" spans="1:5" hidden="1">
      <c r="A907" t="s">
        <v>713</v>
      </c>
      <c r="B907" t="s">
        <v>920</v>
      </c>
      <c r="C907" t="s">
        <v>8</v>
      </c>
    </row>
    <row r="908" spans="1:5">
      <c r="A908" t="s">
        <v>713</v>
      </c>
      <c r="B908" t="s">
        <v>921</v>
      </c>
      <c r="C908" t="s">
        <v>8</v>
      </c>
      <c r="D908" s="20">
        <v>25960</v>
      </c>
      <c r="E908" t="s">
        <v>25</v>
      </c>
    </row>
    <row r="909" spans="1:5">
      <c r="A909" t="s">
        <v>713</v>
      </c>
      <c r="B909" t="s">
        <v>922</v>
      </c>
      <c r="C909" t="s">
        <v>8</v>
      </c>
      <c r="D909" s="20">
        <v>370128</v>
      </c>
      <c r="E909" t="s">
        <v>25</v>
      </c>
    </row>
    <row r="910" spans="1:5">
      <c r="A910" t="s">
        <v>713</v>
      </c>
      <c r="B910" t="s">
        <v>923</v>
      </c>
      <c r="C910" t="s">
        <v>8</v>
      </c>
      <c r="D910" s="20">
        <v>144702</v>
      </c>
      <c r="E910" t="s">
        <v>25</v>
      </c>
    </row>
    <row r="911" spans="1:5">
      <c r="A911" t="s">
        <v>713</v>
      </c>
      <c r="B911" t="s">
        <v>924</v>
      </c>
      <c r="C911" t="s">
        <v>8</v>
      </c>
      <c r="D911" s="20">
        <v>1017194</v>
      </c>
      <c r="E911" t="s">
        <v>25</v>
      </c>
    </row>
    <row r="912" spans="1:5" hidden="1">
      <c r="A912" t="s">
        <v>713</v>
      </c>
      <c r="B912" t="s">
        <v>925</v>
      </c>
      <c r="C912" t="s">
        <v>8</v>
      </c>
    </row>
    <row r="913" spans="1:5" hidden="1">
      <c r="A913" t="s">
        <v>713</v>
      </c>
      <c r="B913" t="s">
        <v>926</v>
      </c>
      <c r="C913" t="s">
        <v>8</v>
      </c>
    </row>
    <row r="914" spans="1:5" hidden="1">
      <c r="A914" t="s">
        <v>713</v>
      </c>
      <c r="B914" t="s">
        <v>927</v>
      </c>
      <c r="C914" t="s">
        <v>8</v>
      </c>
    </row>
    <row r="915" spans="1:5">
      <c r="A915" t="s">
        <v>713</v>
      </c>
      <c r="B915" t="s">
        <v>928</v>
      </c>
      <c r="C915" t="s">
        <v>8</v>
      </c>
      <c r="D915" s="20">
        <v>143046</v>
      </c>
      <c r="E915" t="s">
        <v>25</v>
      </c>
    </row>
    <row r="916" spans="1:5" hidden="1">
      <c r="A916" t="s">
        <v>713</v>
      </c>
      <c r="B916" t="s">
        <v>929</v>
      </c>
      <c r="C916" t="s">
        <v>8</v>
      </c>
    </row>
    <row r="917" spans="1:5">
      <c r="A917" t="s">
        <v>713</v>
      </c>
      <c r="B917" t="s">
        <v>930</v>
      </c>
      <c r="C917" t="s">
        <v>8</v>
      </c>
      <c r="D917" s="19">
        <v>2183</v>
      </c>
      <c r="E917" t="s">
        <v>19</v>
      </c>
    </row>
    <row r="918" spans="1:5">
      <c r="A918" t="s">
        <v>713</v>
      </c>
      <c r="B918" t="s">
        <v>931</v>
      </c>
      <c r="C918" t="s">
        <v>8</v>
      </c>
      <c r="D918" s="20">
        <v>375948</v>
      </c>
      <c r="E918" t="s">
        <v>25</v>
      </c>
    </row>
    <row r="919" spans="1:5" hidden="1">
      <c r="A919" t="s">
        <v>713</v>
      </c>
      <c r="B919" t="s">
        <v>932</v>
      </c>
      <c r="C919" t="s">
        <v>8</v>
      </c>
    </row>
    <row r="920" spans="1:5" hidden="1">
      <c r="A920" t="s">
        <v>713</v>
      </c>
      <c r="B920" t="s">
        <v>933</v>
      </c>
      <c r="C920" t="s">
        <v>8</v>
      </c>
    </row>
    <row r="921" spans="1:5" hidden="1">
      <c r="A921" t="s">
        <v>713</v>
      </c>
      <c r="B921" t="s">
        <v>934</v>
      </c>
      <c r="C921" t="s">
        <v>8</v>
      </c>
    </row>
    <row r="922" spans="1:5" hidden="1">
      <c r="A922" t="s">
        <v>713</v>
      </c>
      <c r="B922" t="s">
        <v>935</v>
      </c>
      <c r="C922" t="s">
        <v>8</v>
      </c>
    </row>
    <row r="923" spans="1:5" hidden="1">
      <c r="A923" t="s">
        <v>713</v>
      </c>
      <c r="B923" t="s">
        <v>936</v>
      </c>
      <c r="C923" t="s">
        <v>8</v>
      </c>
    </row>
    <row r="924" spans="1:5">
      <c r="A924" t="s">
        <v>713</v>
      </c>
      <c r="B924" t="s">
        <v>937</v>
      </c>
      <c r="C924" t="s">
        <v>8</v>
      </c>
      <c r="D924" s="20">
        <v>51294</v>
      </c>
      <c r="E924" t="s">
        <v>25</v>
      </c>
    </row>
    <row r="925" spans="1:5" hidden="1">
      <c r="A925" t="s">
        <v>713</v>
      </c>
      <c r="B925" t="s">
        <v>938</v>
      </c>
      <c r="C925" t="s">
        <v>8</v>
      </c>
    </row>
    <row r="926" spans="1:5" hidden="1">
      <c r="A926" t="s">
        <v>713</v>
      </c>
      <c r="B926" t="s">
        <v>939</v>
      </c>
      <c r="C926" t="s">
        <v>8</v>
      </c>
    </row>
    <row r="927" spans="1:5">
      <c r="A927" t="s">
        <v>713</v>
      </c>
      <c r="B927" t="s">
        <v>940</v>
      </c>
      <c r="C927" t="s">
        <v>8</v>
      </c>
      <c r="D927" s="20">
        <v>7577214</v>
      </c>
      <c r="E927" t="s">
        <v>25</v>
      </c>
    </row>
    <row r="928" spans="1:5" hidden="1">
      <c r="A928" t="s">
        <v>713</v>
      </c>
      <c r="B928" t="s">
        <v>941</v>
      </c>
      <c r="C928" t="s">
        <v>8</v>
      </c>
    </row>
    <row r="929" spans="1:5" hidden="1">
      <c r="A929" t="s">
        <v>713</v>
      </c>
      <c r="B929" t="s">
        <v>942</v>
      </c>
      <c r="C929" t="s">
        <v>8</v>
      </c>
    </row>
    <row r="930" spans="1:5" hidden="1">
      <c r="A930" t="s">
        <v>713</v>
      </c>
      <c r="B930" t="s">
        <v>943</v>
      </c>
      <c r="C930" t="s">
        <v>8</v>
      </c>
    </row>
    <row r="931" spans="1:5" hidden="1">
      <c r="A931" t="s">
        <v>713</v>
      </c>
      <c r="B931" t="s">
        <v>944</v>
      </c>
      <c r="C931" t="s">
        <v>8</v>
      </c>
    </row>
    <row r="932" spans="1:5" hidden="1">
      <c r="A932" t="s">
        <v>713</v>
      </c>
      <c r="B932" t="s">
        <v>945</v>
      </c>
      <c r="C932" t="s">
        <v>8</v>
      </c>
    </row>
    <row r="933" spans="1:5">
      <c r="A933" t="s">
        <v>713</v>
      </c>
      <c r="B933" t="s">
        <v>946</v>
      </c>
      <c r="C933" t="s">
        <v>8</v>
      </c>
      <c r="D933" s="20">
        <v>87279</v>
      </c>
      <c r="E933" t="s">
        <v>25</v>
      </c>
    </row>
    <row r="934" spans="1:5">
      <c r="A934" t="s">
        <v>713</v>
      </c>
      <c r="B934" t="s">
        <v>947</v>
      </c>
      <c r="C934" t="s">
        <v>8</v>
      </c>
      <c r="D934" s="20">
        <v>11079</v>
      </c>
      <c r="E934" t="s">
        <v>25</v>
      </c>
    </row>
    <row r="935" spans="1:5" hidden="1">
      <c r="A935" t="s">
        <v>713</v>
      </c>
      <c r="B935" t="s">
        <v>948</v>
      </c>
      <c r="C935" t="s">
        <v>8</v>
      </c>
    </row>
    <row r="936" spans="1:5">
      <c r="A936" t="s">
        <v>713</v>
      </c>
      <c r="B936" t="s">
        <v>949</v>
      </c>
      <c r="C936" t="s">
        <v>8</v>
      </c>
      <c r="D936" s="20">
        <v>19824</v>
      </c>
      <c r="E936" t="s">
        <v>25</v>
      </c>
    </row>
    <row r="937" spans="1:5" hidden="1">
      <c r="A937" t="s">
        <v>713</v>
      </c>
      <c r="B937" t="s">
        <v>950</v>
      </c>
      <c r="C937" t="s">
        <v>8</v>
      </c>
    </row>
    <row r="938" spans="1:5" hidden="1">
      <c r="A938" t="s">
        <v>713</v>
      </c>
      <c r="B938" t="s">
        <v>951</v>
      </c>
      <c r="C938" t="s">
        <v>8</v>
      </c>
    </row>
    <row r="939" spans="1:5" hidden="1">
      <c r="A939" t="s">
        <v>952</v>
      </c>
      <c r="B939" t="s">
        <v>953</v>
      </c>
      <c r="C939" t="s">
        <v>8</v>
      </c>
      <c r="D939"/>
    </row>
    <row r="940" spans="1:5" hidden="1">
      <c r="A940" t="s">
        <v>952</v>
      </c>
      <c r="B940" t="s">
        <v>954</v>
      </c>
      <c r="C940" t="s">
        <v>8</v>
      </c>
      <c r="D940"/>
    </row>
    <row r="941" spans="1:5" hidden="1">
      <c r="A941" t="s">
        <v>952</v>
      </c>
      <c r="B941" t="s">
        <v>955</v>
      </c>
      <c r="C941" t="s">
        <v>8</v>
      </c>
      <c r="D941"/>
    </row>
    <row r="942" spans="1:5" hidden="1">
      <c r="A942" t="s">
        <v>952</v>
      </c>
      <c r="B942" t="s">
        <v>956</v>
      </c>
      <c r="C942" t="s">
        <v>8</v>
      </c>
      <c r="D942"/>
    </row>
    <row r="943" spans="1:5" hidden="1">
      <c r="A943" t="s">
        <v>952</v>
      </c>
      <c r="B943" t="s">
        <v>957</v>
      </c>
      <c r="C943" t="s">
        <v>8</v>
      </c>
      <c r="D943"/>
    </row>
    <row r="944" spans="1:5" hidden="1">
      <c r="A944" t="s">
        <v>952</v>
      </c>
      <c r="B944" t="s">
        <v>958</v>
      </c>
      <c r="C944" t="s">
        <v>8</v>
      </c>
      <c r="D944"/>
    </row>
    <row r="945" spans="1:4" hidden="1">
      <c r="A945" t="s">
        <v>952</v>
      </c>
      <c r="B945" t="s">
        <v>959</v>
      </c>
      <c r="C945" t="s">
        <v>8</v>
      </c>
      <c r="D945"/>
    </row>
    <row r="946" spans="1:4" hidden="1">
      <c r="A946" t="s">
        <v>952</v>
      </c>
      <c r="B946" t="s">
        <v>960</v>
      </c>
      <c r="C946" t="s">
        <v>8</v>
      </c>
      <c r="D946"/>
    </row>
    <row r="947" spans="1:4" hidden="1">
      <c r="A947" t="s">
        <v>952</v>
      </c>
      <c r="B947" t="s">
        <v>961</v>
      </c>
      <c r="C947" t="s">
        <v>8</v>
      </c>
      <c r="D947"/>
    </row>
    <row r="948" spans="1:4" hidden="1">
      <c r="A948" t="s">
        <v>952</v>
      </c>
      <c r="B948" t="s">
        <v>962</v>
      </c>
      <c r="C948" t="s">
        <v>8</v>
      </c>
      <c r="D948"/>
    </row>
    <row r="949" spans="1:4" hidden="1">
      <c r="A949" t="s">
        <v>952</v>
      </c>
      <c r="B949" t="s">
        <v>963</v>
      </c>
      <c r="C949" t="s">
        <v>8</v>
      </c>
      <c r="D949"/>
    </row>
    <row r="950" spans="1:4" hidden="1">
      <c r="A950" t="s">
        <v>952</v>
      </c>
      <c r="B950" t="s">
        <v>964</v>
      </c>
      <c r="C950" t="s">
        <v>8</v>
      </c>
      <c r="D950"/>
    </row>
    <row r="951" spans="1:4" hidden="1">
      <c r="A951" t="s">
        <v>952</v>
      </c>
      <c r="B951" t="s">
        <v>965</v>
      </c>
      <c r="C951" t="s">
        <v>8</v>
      </c>
      <c r="D951"/>
    </row>
    <row r="952" spans="1:4" hidden="1">
      <c r="A952" t="s">
        <v>952</v>
      </c>
      <c r="B952" t="s">
        <v>966</v>
      </c>
      <c r="C952" t="s">
        <v>8</v>
      </c>
      <c r="D952"/>
    </row>
    <row r="953" spans="1:4" hidden="1">
      <c r="A953" t="s">
        <v>952</v>
      </c>
      <c r="B953" t="s">
        <v>967</v>
      </c>
      <c r="C953" t="s">
        <v>8</v>
      </c>
      <c r="D953"/>
    </row>
    <row r="954" spans="1:4" hidden="1">
      <c r="A954" t="s">
        <v>952</v>
      </c>
      <c r="B954" t="s">
        <v>968</v>
      </c>
      <c r="C954" t="s">
        <v>8</v>
      </c>
      <c r="D954"/>
    </row>
    <row r="955" spans="1:4" hidden="1">
      <c r="A955" t="s">
        <v>952</v>
      </c>
      <c r="B955" t="s">
        <v>969</v>
      </c>
      <c r="C955" t="s">
        <v>8</v>
      </c>
      <c r="D955"/>
    </row>
    <row r="956" spans="1:4" hidden="1">
      <c r="A956" t="s">
        <v>952</v>
      </c>
      <c r="B956" t="s">
        <v>970</v>
      </c>
      <c r="C956" t="s">
        <v>8</v>
      </c>
      <c r="D956"/>
    </row>
    <row r="957" spans="1:4" hidden="1">
      <c r="A957" t="s">
        <v>952</v>
      </c>
      <c r="B957" t="s">
        <v>971</v>
      </c>
      <c r="C957" t="s">
        <v>8</v>
      </c>
      <c r="D957"/>
    </row>
    <row r="958" spans="1:4" hidden="1">
      <c r="A958" t="s">
        <v>952</v>
      </c>
      <c r="B958" t="s">
        <v>972</v>
      </c>
      <c r="C958" t="s">
        <v>8</v>
      </c>
      <c r="D958"/>
    </row>
    <row r="959" spans="1:4" hidden="1">
      <c r="A959" t="s">
        <v>952</v>
      </c>
      <c r="B959" t="s">
        <v>973</v>
      </c>
      <c r="C959" t="s">
        <v>8</v>
      </c>
      <c r="D959"/>
    </row>
    <row r="960" spans="1:4" hidden="1">
      <c r="A960" t="s">
        <v>952</v>
      </c>
      <c r="B960" t="s">
        <v>974</v>
      </c>
      <c r="C960" t="s">
        <v>8</v>
      </c>
      <c r="D960"/>
    </row>
    <row r="961" spans="1:4" hidden="1">
      <c r="A961" t="s">
        <v>952</v>
      </c>
      <c r="B961" t="s">
        <v>975</v>
      </c>
      <c r="C961" t="s">
        <v>8</v>
      </c>
      <c r="D961"/>
    </row>
    <row r="962" spans="1:4" hidden="1">
      <c r="A962" t="s">
        <v>952</v>
      </c>
      <c r="B962" t="s">
        <v>976</v>
      </c>
      <c r="C962" t="s">
        <v>8</v>
      </c>
      <c r="D962"/>
    </row>
    <row r="963" spans="1:4" hidden="1">
      <c r="A963" t="s">
        <v>952</v>
      </c>
      <c r="B963" t="s">
        <v>977</v>
      </c>
      <c r="C963" t="s">
        <v>8</v>
      </c>
      <c r="D963"/>
    </row>
    <row r="964" spans="1:4" hidden="1">
      <c r="A964" t="s">
        <v>952</v>
      </c>
      <c r="B964" t="s">
        <v>978</v>
      </c>
      <c r="C964" t="s">
        <v>8</v>
      </c>
      <c r="D964"/>
    </row>
    <row r="965" spans="1:4" hidden="1">
      <c r="A965" t="s">
        <v>952</v>
      </c>
      <c r="B965" t="s">
        <v>979</v>
      </c>
      <c r="C965" t="s">
        <v>8</v>
      </c>
      <c r="D965"/>
    </row>
    <row r="966" spans="1:4" hidden="1">
      <c r="A966" t="s">
        <v>952</v>
      </c>
      <c r="B966" t="s">
        <v>980</v>
      </c>
      <c r="C966" t="s">
        <v>8</v>
      </c>
      <c r="D966"/>
    </row>
    <row r="967" spans="1:4" hidden="1">
      <c r="A967" t="s">
        <v>952</v>
      </c>
      <c r="B967" t="s">
        <v>981</v>
      </c>
      <c r="C967" t="s">
        <v>8</v>
      </c>
      <c r="D967"/>
    </row>
    <row r="968" spans="1:4" hidden="1">
      <c r="A968" t="s">
        <v>952</v>
      </c>
      <c r="B968" t="s">
        <v>982</v>
      </c>
      <c r="C968" t="s">
        <v>8</v>
      </c>
      <c r="D968"/>
    </row>
    <row r="969" spans="1:4" hidden="1">
      <c r="A969" t="s">
        <v>952</v>
      </c>
      <c r="B969" t="s">
        <v>983</v>
      </c>
      <c r="C969" t="s">
        <v>8</v>
      </c>
      <c r="D969"/>
    </row>
    <row r="970" spans="1:4" hidden="1">
      <c r="A970" t="s">
        <v>952</v>
      </c>
      <c r="B970" t="s">
        <v>984</v>
      </c>
      <c r="C970" t="s">
        <v>8</v>
      </c>
      <c r="D970"/>
    </row>
    <row r="971" spans="1:4" hidden="1">
      <c r="A971" t="s">
        <v>952</v>
      </c>
      <c r="B971" t="s">
        <v>985</v>
      </c>
      <c r="C971" t="s">
        <v>8</v>
      </c>
      <c r="D971"/>
    </row>
    <row r="972" spans="1:4" hidden="1">
      <c r="A972" t="s">
        <v>952</v>
      </c>
      <c r="B972" t="s">
        <v>986</v>
      </c>
      <c r="C972" t="s">
        <v>8</v>
      </c>
      <c r="D972"/>
    </row>
    <row r="973" spans="1:4" hidden="1">
      <c r="A973" t="s">
        <v>987</v>
      </c>
      <c r="B973" t="s">
        <v>988</v>
      </c>
      <c r="C973" t="s">
        <v>8</v>
      </c>
      <c r="D973"/>
    </row>
    <row r="974" spans="1:4" hidden="1">
      <c r="A974" t="s">
        <v>987</v>
      </c>
      <c r="B974" t="s">
        <v>989</v>
      </c>
      <c r="C974" t="s">
        <v>8</v>
      </c>
      <c r="D974"/>
    </row>
    <row r="975" spans="1:4" hidden="1">
      <c r="A975" t="s">
        <v>987</v>
      </c>
      <c r="B975" t="s">
        <v>990</v>
      </c>
      <c r="C975" t="s">
        <v>8</v>
      </c>
      <c r="D975"/>
    </row>
    <row r="981" spans="8:8">
      <c r="H981" s="4"/>
    </row>
    <row r="988" spans="8:8">
      <c r="H988" s="4"/>
    </row>
    <row r="992" spans="8:8">
      <c r="H992" s="4"/>
    </row>
  </sheetData>
  <autoFilter ref="A1:F975" xr:uid="{00000000-0009-0000-0000-000000000000}">
    <filterColumn colId="0">
      <filters>
        <filter val="Customer"/>
        <filter val="Supplier"/>
      </filters>
    </filterColumn>
    <filterColumn colId="3">
      <filters>
        <filter val="10000.00"/>
        <filter val="10007.00"/>
        <filter val="100605.00"/>
        <filter val="1017194.00"/>
        <filter val="1017467.00"/>
        <filter val="102583.50"/>
        <filter val="103680934.00"/>
        <filter val="10516.04"/>
        <filter val="106691.92"/>
        <filter val="1072981.00"/>
        <filter val="1080606.13"/>
        <filter val="109143.00"/>
        <filter val="110091.00"/>
        <filter val="1104818.00"/>
        <filter val="11079.00"/>
        <filter val="1158652.00"/>
        <filter val="117981.00"/>
        <filter val="11800"/>
        <filter val="1186572.00"/>
        <filter val="119116.04"/>
        <filter val="119243.00"/>
        <filter val="12000"/>
        <filter val="120496.10"/>
        <filter val="1214.00"/>
        <filter val="125598.69"/>
        <filter val="126388.10"/>
        <filter val="126849.25"/>
        <filter val="129887.00"/>
        <filter val="1312.00"/>
        <filter val="1312.50"/>
        <filter val="1313.00"/>
        <filter val="131637.43"/>
        <filter val="13168.26"/>
        <filter val="132214.25"/>
        <filter val="13275.00"/>
        <filter val="133714.16"/>
        <filter val="13479.08"/>
        <filter val="1363608.00"/>
        <filter val="137797.78"/>
        <filter val="14000.00"/>
        <filter val="1401414.45"/>
        <filter val="1428.00"/>
        <filter val="143046.00"/>
        <filter val="144702.00"/>
        <filter val="147135.00"/>
        <filter val="147500.00"/>
        <filter val="14769.60"/>
        <filter val="148090.00"/>
        <filter val="149415.36"/>
        <filter val="1518666.91"/>
        <filter val="154471.00"/>
        <filter val="15540.00"/>
        <filter val="155642.00"/>
        <filter val="1556477.00"/>
        <filter val="155731.00"/>
        <filter val="1563264.00"/>
        <filter val="157665.89"/>
        <filter val="158375.00"/>
        <filter val="16000.00"/>
        <filter val="16074.00"/>
        <filter val="16200.00"/>
        <filter val="16500.00"/>
        <filter val="165847.00"/>
        <filter val="16591.00"/>
        <filter val="166572.00"/>
        <filter val="167805.00"/>
        <filter val="17059055.00"/>
        <filter val="1736180.00"/>
        <filter val="17370.00"/>
        <filter val="175193.00"/>
        <filter val="176410.00"/>
        <filter val="1770.00"/>
        <filter val="177171.00"/>
        <filter val="1798775.00"/>
        <filter val="18880.00"/>
        <filter val="18951.00"/>
        <filter val="194168.90"/>
        <filter val="196495.00"/>
        <filter val="196730.00"/>
        <filter val="19824.00"/>
        <filter val="201255"/>
        <filter val="2019624.68"/>
        <filter val="2030.00"/>
        <filter val="206453.60"/>
        <filter val="21020.00"/>
        <filter val="2150.00"/>
        <filter val="2183"/>
        <filter val="22146539.86"/>
        <filter val="223452.90"/>
        <filter val="22382888.00"/>
        <filter val="225832.00"/>
        <filter val="226340.80"/>
        <filter val="231284.00"/>
        <filter val="234891.00"/>
        <filter val="238999.00"/>
        <filter val="24050.00"/>
        <filter val="241116.29"/>
        <filter val="241546.00"/>
        <filter val="247948.00"/>
        <filter val="248578.56"/>
        <filter val="25123.00"/>
        <filter val="2526611.60"/>
        <filter val="252747.00"/>
        <filter val="25427.00"/>
        <filter val="25753.00"/>
        <filter val="2592.36"/>
        <filter val="25960.00"/>
        <filter val="2604270.00"/>
        <filter val="264684.00"/>
        <filter val="26808.00"/>
        <filter val="268888.78"/>
        <filter val="27415.00"/>
        <filter val="277300.00"/>
        <filter val="2876.56"/>
        <filter val="2901160.78"/>
        <filter val="30000"/>
        <filter val="304676.00"/>
        <filter val="309356.00"/>
        <filter val="30975.00"/>
        <filter val="317252.76"/>
        <filter val="318878.00"/>
        <filter val="326281.16"/>
        <filter val="329810.00"/>
        <filter val="337798.98"/>
        <filter val="34798.19"/>
        <filter val="35041.37"/>
        <filter val="35637.00"/>
        <filter val="35672.92"/>
        <filter val="35865.00"/>
        <filter val="36656.00"/>
        <filter val="36879.00"/>
        <filter val="369610.00"/>
        <filter val="370128.00"/>
        <filter val="37106.22"/>
        <filter val="3747031.49"/>
        <filter val="375948.00"/>
        <filter val="3776.00"/>
        <filter val="37765.00"/>
        <filter val="38061.00"/>
        <filter val="381955.85"/>
        <filter val="384909.81"/>
        <filter val="385980.00"/>
        <filter val="388273.96"/>
        <filter val="393373.80"/>
        <filter val="397056.41"/>
        <filter val="397269.87"/>
        <filter val="40020.00"/>
        <filter val="40277.00"/>
        <filter val="40920.00"/>
        <filter val="41350.60"/>
        <filter val="41521.28"/>
        <filter val="41546.00"/>
        <filter val="4315175.00"/>
        <filter val="4354.00"/>
        <filter val="437360.00"/>
        <filter val="44079.00"/>
        <filter val="444625.45"/>
        <filter val="446004.00"/>
        <filter val="448928.37"/>
        <filter val="4500.00"/>
        <filter val="454332.05"/>
        <filter val="4587604.80"/>
        <filter val="459781.00"/>
        <filter val="471999.00"/>
        <filter val="476853.00"/>
        <filter val="490390.00"/>
        <filter val="498600.00"/>
        <filter val="499973.11"/>
        <filter val="503232.01"/>
        <filter val="503521.00"/>
        <filter val="509551.00"/>
        <filter val="51294.00"/>
        <filter val="514530.00"/>
        <filter val="51543.50"/>
        <filter val="5163.00"/>
        <filter val="52038.70"/>
        <filter val="52123.00"/>
        <filter val="524153.00"/>
        <filter val="527305.00"/>
        <filter val="530483.00"/>
        <filter val="532729.94"/>
        <filter val="534800.00"/>
        <filter val="53819208.00"/>
        <filter val="53981.00"/>
        <filter val="540381.00"/>
        <filter val="548057.80"/>
        <filter val="54870.00"/>
        <filter val="549251.68"/>
        <filter val="55125.00"/>
        <filter val="5566193.60"/>
        <filter val="56522.00"/>
        <filter val="57471.00"/>
        <filter val="575894.00"/>
        <filter val="579041.16"/>
        <filter val="58069.00"/>
        <filter val="58733625.00"/>
        <filter val="59531.00"/>
        <filter val="60822.00"/>
        <filter val="618494.40"/>
        <filter val="632486.84"/>
        <filter val="63757.79"/>
        <filter val="65027.00"/>
        <filter val="65464.00"/>
        <filter val="655577.80"/>
        <filter val="6562.50"/>
        <filter val="660301.12"/>
        <filter val="674904.73"/>
        <filter val="679712.00"/>
        <filter val="68910.00"/>
        <filter val="69197.86"/>
        <filter val="692306.00"/>
        <filter val="692695.00"/>
        <filter val="695.00"/>
        <filter val="705231.80"/>
        <filter val="70531.00"/>
        <filter val="725151.26"/>
        <filter val="73535.06"/>
        <filter val="747480.00"/>
        <filter val="7514.54"/>
        <filter val="7522202.00"/>
        <filter val="75752.00"/>
        <filter val="7577214.00"/>
        <filter val="7610.00"/>
        <filter val="7965.00"/>
        <filter val="818110.22"/>
        <filter val="82314.00"/>
        <filter val="82666.00"/>
        <filter val="83084.00"/>
        <filter val="868016.69"/>
        <filter val="86813.20"/>
        <filter val="87279.00"/>
        <filter val="8750.00"/>
        <filter val="8800.00"/>
        <filter val="88134.80"/>
        <filter val="88466.00"/>
        <filter val="890805.50"/>
        <filter val="898073.79"/>
        <filter val="89975.00"/>
        <filter val="90619.23"/>
        <filter val="90804.00"/>
        <filter val="91033.00"/>
        <filter val="91836.00"/>
        <filter val="93350.00"/>
        <filter val="953892.01"/>
        <filter val="95533.00"/>
        <filter val="9613.45"/>
        <filter val="99511.00"/>
      </filters>
    </filterColumn>
  </autoFilter>
  <dataValidations disablePrompts="1" count="1">
    <dataValidation type="list" showErrorMessage="1" errorTitle="Invalid Selection" error="Please select a valid value from the list." sqref="E2:E1048576" xr:uid="{00000000-0002-0000-0000-000000000000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084"/>
  <sheetViews>
    <sheetView tabSelected="1" workbookViewId="0">
      <pane ySplit="1" topLeftCell="B2" activePane="bottomLeft" state="frozen"/>
      <selection pane="bottomLeft" activeCell="C6" sqref="C6"/>
    </sheetView>
  </sheetViews>
  <sheetFormatPr defaultRowHeight="15"/>
  <cols>
    <col min="1" max="1" width="13.7109375" customWidth="1"/>
    <col min="2" max="2" width="49.28515625" customWidth="1"/>
    <col min="3" max="3" width="29.42578125" style="13" customWidth="1"/>
    <col min="4" max="4" width="13.42578125" bestFit="1" customWidth="1"/>
    <col min="5" max="5" width="12.85546875" style="4" bestFit="1" customWidth="1"/>
    <col min="6" max="6" width="13.5703125" customWidth="1"/>
    <col min="7" max="7" width="10.5703125" bestFit="1" customWidth="1"/>
    <col min="8" max="8" width="10" bestFit="1" customWidth="1"/>
    <col min="9" max="9" width="12.7109375" bestFit="1" customWidth="1"/>
    <col min="10" max="10" width="12.5703125" bestFit="1" customWidth="1"/>
  </cols>
  <sheetData>
    <row r="1" spans="1:6" ht="16.5" thickBot="1">
      <c r="A1" s="1" t="s">
        <v>0</v>
      </c>
      <c r="B1" s="1" t="s">
        <v>1</v>
      </c>
      <c r="C1" s="12" t="s">
        <v>991</v>
      </c>
      <c r="D1" s="1" t="s">
        <v>992</v>
      </c>
      <c r="E1" s="5" t="s">
        <v>993</v>
      </c>
      <c r="F1" s="1" t="s">
        <v>4</v>
      </c>
    </row>
    <row r="2" spans="1:6" ht="15.75" hidden="1" thickBot="1">
      <c r="A2" t="s">
        <v>15</v>
      </c>
      <c r="B2" t="s">
        <v>16</v>
      </c>
      <c r="C2" s="9"/>
      <c r="D2" s="3"/>
    </row>
    <row r="3" spans="1:6" ht="15.75" hidden="1" thickBot="1">
      <c r="A3" t="s">
        <v>15</v>
      </c>
      <c r="B3" t="s">
        <v>17</v>
      </c>
      <c r="C3" s="7"/>
    </row>
    <row r="4" spans="1:6" ht="15.75" thickBot="1">
      <c r="A4" t="s">
        <v>15</v>
      </c>
      <c r="B4" t="s">
        <v>18</v>
      </c>
      <c r="C4" s="9" t="s">
        <v>994</v>
      </c>
      <c r="D4" s="3">
        <v>45371</v>
      </c>
      <c r="E4" s="21">
        <v>15523.8</v>
      </c>
      <c r="F4" t="s">
        <v>19</v>
      </c>
    </row>
    <row r="5" spans="1:6" ht="15.75" thickBot="1">
      <c r="A5" t="s">
        <v>15</v>
      </c>
      <c r="B5" t="s">
        <v>18</v>
      </c>
      <c r="C5" s="9" t="s">
        <v>995</v>
      </c>
      <c r="D5" s="3">
        <v>45380</v>
      </c>
      <c r="E5" s="21">
        <v>2656</v>
      </c>
      <c r="F5" t="s">
        <v>19</v>
      </c>
    </row>
    <row r="6" spans="1:6">
      <c r="A6" t="s">
        <v>15</v>
      </c>
      <c r="B6" t="s">
        <v>18</v>
      </c>
      <c r="C6" s="10" t="s">
        <v>996</v>
      </c>
      <c r="D6" s="3">
        <v>45625</v>
      </c>
      <c r="E6" s="21">
        <v>509125.2</v>
      </c>
      <c r="F6" t="s">
        <v>19</v>
      </c>
    </row>
    <row r="7" spans="1:6">
      <c r="A7" t="s">
        <v>15</v>
      </c>
      <c r="B7" t="s">
        <v>20</v>
      </c>
      <c r="C7" s="7" t="s">
        <v>997</v>
      </c>
      <c r="D7" s="3">
        <v>45323</v>
      </c>
      <c r="E7" s="21">
        <v>126388.1</v>
      </c>
      <c r="F7" t="s">
        <v>19</v>
      </c>
    </row>
    <row r="8" spans="1:6">
      <c r="A8" t="s">
        <v>15</v>
      </c>
      <c r="B8" t="s">
        <v>21</v>
      </c>
      <c r="C8" s="7">
        <v>1</v>
      </c>
      <c r="D8" s="3">
        <v>45747</v>
      </c>
      <c r="E8" s="21">
        <v>1401414.45</v>
      </c>
      <c r="F8" t="s">
        <v>19</v>
      </c>
    </row>
    <row r="9" spans="1:6" hidden="1">
      <c r="A9" t="s">
        <v>15</v>
      </c>
      <c r="B9" t="s">
        <v>22</v>
      </c>
      <c r="C9" s="7"/>
    </row>
    <row r="10" spans="1:6" hidden="1">
      <c r="A10" t="s">
        <v>15</v>
      </c>
      <c r="B10" t="s">
        <v>23</v>
      </c>
      <c r="C10" s="7"/>
    </row>
    <row r="11" spans="1:6">
      <c r="A11" t="s">
        <v>15</v>
      </c>
      <c r="B11" t="s">
        <v>24</v>
      </c>
      <c r="C11" s="7">
        <v>1</v>
      </c>
      <c r="D11" s="3">
        <v>45744</v>
      </c>
      <c r="E11" s="21">
        <v>196495</v>
      </c>
      <c r="F11" t="s">
        <v>25</v>
      </c>
    </row>
    <row r="12" spans="1:6" hidden="1">
      <c r="A12" t="s">
        <v>15</v>
      </c>
      <c r="B12" t="s">
        <v>26</v>
      </c>
      <c r="C12" s="7"/>
    </row>
    <row r="13" spans="1:6" hidden="1">
      <c r="A13" t="s">
        <v>15</v>
      </c>
      <c r="B13" t="s">
        <v>27</v>
      </c>
      <c r="C13" s="7"/>
    </row>
    <row r="14" spans="1:6" hidden="1">
      <c r="A14" t="s">
        <v>15</v>
      </c>
      <c r="B14" t="s">
        <v>28</v>
      </c>
      <c r="C14" s="7"/>
    </row>
    <row r="15" spans="1:6" hidden="1">
      <c r="A15" t="s">
        <v>15</v>
      </c>
      <c r="B15" t="s">
        <v>29</v>
      </c>
      <c r="C15" s="7"/>
    </row>
    <row r="16" spans="1:6" hidden="1">
      <c r="A16" t="s">
        <v>15</v>
      </c>
      <c r="B16" t="s">
        <v>30</v>
      </c>
      <c r="C16" s="7"/>
    </row>
    <row r="17" spans="1:6">
      <c r="A17" t="s">
        <v>15</v>
      </c>
      <c r="B17" t="s">
        <v>31</v>
      </c>
      <c r="C17" s="7" t="s">
        <v>998</v>
      </c>
      <c r="D17" s="3">
        <v>44529</v>
      </c>
      <c r="E17" s="21">
        <v>170650</v>
      </c>
      <c r="F17" t="s">
        <v>19</v>
      </c>
    </row>
    <row r="18" spans="1:6">
      <c r="A18" t="s">
        <v>15</v>
      </c>
      <c r="B18" t="s">
        <v>32</v>
      </c>
      <c r="C18" s="7">
        <v>2</v>
      </c>
      <c r="D18" s="3">
        <v>45747</v>
      </c>
      <c r="E18" s="21">
        <v>35672.92</v>
      </c>
      <c r="F18" t="s">
        <v>25</v>
      </c>
    </row>
    <row r="19" spans="1:6">
      <c r="A19" t="s">
        <v>15</v>
      </c>
      <c r="B19" t="s">
        <v>31</v>
      </c>
      <c r="C19" s="7" t="s">
        <v>999</v>
      </c>
      <c r="D19" s="3">
        <v>44533</v>
      </c>
      <c r="E19" s="21">
        <v>201600</v>
      </c>
      <c r="F19" t="s">
        <v>19</v>
      </c>
    </row>
    <row r="20" spans="1:6">
      <c r="A20" t="s">
        <v>15</v>
      </c>
      <c r="B20" t="s">
        <v>31</v>
      </c>
      <c r="C20" s="7" t="s">
        <v>1000</v>
      </c>
      <c r="D20" s="3">
        <v>44561</v>
      </c>
      <c r="E20" s="21">
        <v>1019953.38</v>
      </c>
      <c r="F20" t="s">
        <v>19</v>
      </c>
    </row>
    <row r="21" spans="1:6">
      <c r="A21" t="s">
        <v>15</v>
      </c>
      <c r="B21" t="s">
        <v>31</v>
      </c>
      <c r="C21" s="7" t="s">
        <v>1001</v>
      </c>
      <c r="D21" s="3">
        <v>44896</v>
      </c>
      <c r="E21" s="21">
        <v>103385</v>
      </c>
      <c r="F21" t="s">
        <v>19</v>
      </c>
    </row>
    <row r="22" spans="1:6">
      <c r="A22" t="s">
        <v>15</v>
      </c>
      <c r="B22" t="s">
        <v>31</v>
      </c>
      <c r="C22" s="7" t="s">
        <v>1002</v>
      </c>
      <c r="D22" s="3">
        <v>44896</v>
      </c>
      <c r="E22" s="21">
        <v>105737</v>
      </c>
      <c r="F22" t="s">
        <v>19</v>
      </c>
    </row>
    <row r="23" spans="1:6">
      <c r="A23" t="s">
        <v>15</v>
      </c>
      <c r="B23" t="s">
        <v>31</v>
      </c>
      <c r="C23" s="7" t="s">
        <v>1003</v>
      </c>
      <c r="D23" s="3">
        <v>45016</v>
      </c>
      <c r="E23" s="21">
        <v>20237</v>
      </c>
      <c r="F23" t="s">
        <v>19</v>
      </c>
    </row>
    <row r="24" spans="1:6">
      <c r="A24" t="s">
        <v>15</v>
      </c>
      <c r="B24" t="s">
        <v>31</v>
      </c>
      <c r="C24" s="7" t="s">
        <v>1004</v>
      </c>
      <c r="D24" s="3">
        <v>45016</v>
      </c>
      <c r="E24" s="21">
        <v>78572.600000000006</v>
      </c>
      <c r="F24" t="s">
        <v>19</v>
      </c>
    </row>
    <row r="25" spans="1:6">
      <c r="A25" t="s">
        <v>15</v>
      </c>
      <c r="B25" t="s">
        <v>31</v>
      </c>
      <c r="C25" s="7" t="s">
        <v>1005</v>
      </c>
      <c r="D25" s="3">
        <v>45016</v>
      </c>
      <c r="E25" s="21">
        <v>32119.599999999999</v>
      </c>
      <c r="F25" t="s">
        <v>19</v>
      </c>
    </row>
    <row r="26" spans="1:6">
      <c r="A26" t="s">
        <v>15</v>
      </c>
      <c r="B26" t="s">
        <v>31</v>
      </c>
      <c r="C26" s="7" t="s">
        <v>1006</v>
      </c>
      <c r="D26" s="3">
        <v>45016</v>
      </c>
      <c r="E26" s="21">
        <v>151070.65</v>
      </c>
      <c r="F26" t="s">
        <v>19</v>
      </c>
    </row>
    <row r="27" spans="1:6">
      <c r="A27" t="s">
        <v>15</v>
      </c>
      <c r="B27" t="s">
        <v>31</v>
      </c>
      <c r="C27" s="7" t="s">
        <v>1007</v>
      </c>
      <c r="D27" s="3">
        <v>45044</v>
      </c>
      <c r="E27" s="21">
        <v>55659.02</v>
      </c>
      <c r="F27" t="s">
        <v>19</v>
      </c>
    </row>
    <row r="28" spans="1:6">
      <c r="A28" t="s">
        <v>15</v>
      </c>
      <c r="B28" t="s">
        <v>31</v>
      </c>
      <c r="C28" s="7" t="s">
        <v>1008</v>
      </c>
      <c r="D28" s="3">
        <v>45132</v>
      </c>
      <c r="E28" s="21">
        <v>41354.120000000003</v>
      </c>
      <c r="F28" t="s">
        <v>19</v>
      </c>
    </row>
    <row r="29" spans="1:6">
      <c r="A29" t="s">
        <v>15</v>
      </c>
      <c r="B29" t="s">
        <v>31</v>
      </c>
      <c r="C29" s="7" t="s">
        <v>1009</v>
      </c>
      <c r="D29" s="3">
        <v>45670</v>
      </c>
      <c r="E29" s="21">
        <v>39286.31</v>
      </c>
      <c r="F29" t="s">
        <v>19</v>
      </c>
    </row>
    <row r="30" spans="1:6">
      <c r="A30" t="s">
        <v>15</v>
      </c>
      <c r="B30" t="s">
        <v>33</v>
      </c>
      <c r="C30" s="7" t="s">
        <v>1010</v>
      </c>
      <c r="D30" s="3">
        <v>44624</v>
      </c>
      <c r="E30" s="21">
        <v>1941690</v>
      </c>
      <c r="F30" t="s">
        <v>19</v>
      </c>
    </row>
    <row r="31" spans="1:6">
      <c r="A31" t="s">
        <v>15</v>
      </c>
      <c r="B31" t="s">
        <v>34</v>
      </c>
      <c r="C31" s="11" t="s">
        <v>1011</v>
      </c>
      <c r="D31" s="3">
        <v>45139</v>
      </c>
      <c r="E31" s="21">
        <v>157665.89000000001</v>
      </c>
      <c r="F31" s="8" t="s">
        <v>19</v>
      </c>
    </row>
    <row r="32" spans="1:6">
      <c r="A32" t="s">
        <v>15</v>
      </c>
      <c r="B32" t="s">
        <v>35</v>
      </c>
      <c r="C32" s="7" t="s">
        <v>1012</v>
      </c>
      <c r="D32" s="3">
        <v>45744</v>
      </c>
      <c r="E32" s="21">
        <v>692695</v>
      </c>
      <c r="F32" s="8" t="s">
        <v>19</v>
      </c>
    </row>
    <row r="33" spans="1:6">
      <c r="A33" t="s">
        <v>15</v>
      </c>
      <c r="B33" t="s">
        <v>36</v>
      </c>
      <c r="C33" s="7" t="s">
        <v>1013</v>
      </c>
      <c r="D33" s="3">
        <v>45694</v>
      </c>
      <c r="E33" s="21">
        <v>1770</v>
      </c>
      <c r="F33" s="8" t="s">
        <v>19</v>
      </c>
    </row>
    <row r="34" spans="1:6">
      <c r="A34" t="s">
        <v>15</v>
      </c>
      <c r="B34" t="s">
        <v>33</v>
      </c>
      <c r="C34" s="7" t="s">
        <v>1014</v>
      </c>
      <c r="D34" s="3">
        <v>44907</v>
      </c>
      <c r="E34" s="21">
        <v>105138</v>
      </c>
      <c r="F34" s="8" t="s">
        <v>19</v>
      </c>
    </row>
    <row r="35" spans="1:6">
      <c r="A35" t="s">
        <v>15</v>
      </c>
      <c r="B35" t="s">
        <v>33</v>
      </c>
      <c r="C35" s="7" t="s">
        <v>1015</v>
      </c>
      <c r="D35" s="3">
        <v>44907</v>
      </c>
      <c r="E35" s="21">
        <v>231940</v>
      </c>
      <c r="F35" s="8" t="s">
        <v>19</v>
      </c>
    </row>
    <row r="36" spans="1:6">
      <c r="A36" t="s">
        <v>15</v>
      </c>
      <c r="B36" t="s">
        <v>33</v>
      </c>
      <c r="C36" s="7" t="s">
        <v>1016</v>
      </c>
      <c r="D36" s="3">
        <v>44907</v>
      </c>
      <c r="E36" s="21">
        <v>11800</v>
      </c>
      <c r="F36" s="8" t="s">
        <v>19</v>
      </c>
    </row>
    <row r="37" spans="1:6">
      <c r="A37" t="s">
        <v>15</v>
      </c>
      <c r="B37" t="s">
        <v>33</v>
      </c>
      <c r="C37" s="7" t="s">
        <v>1017</v>
      </c>
      <c r="D37" s="3">
        <v>44907</v>
      </c>
      <c r="E37" s="21">
        <v>19006</v>
      </c>
      <c r="F37" s="8" t="s">
        <v>19</v>
      </c>
    </row>
    <row r="38" spans="1:6">
      <c r="A38" t="s">
        <v>15</v>
      </c>
      <c r="B38" t="s">
        <v>33</v>
      </c>
      <c r="C38" s="7" t="s">
        <v>1018</v>
      </c>
      <c r="D38" s="3">
        <v>44907</v>
      </c>
      <c r="E38" s="21">
        <v>74340</v>
      </c>
      <c r="F38" s="8" t="s">
        <v>19</v>
      </c>
    </row>
    <row r="39" spans="1:6">
      <c r="A39" t="s">
        <v>15</v>
      </c>
      <c r="B39" t="s">
        <v>33</v>
      </c>
      <c r="C39" s="7" t="s">
        <v>1019</v>
      </c>
      <c r="D39" s="3">
        <v>44907</v>
      </c>
      <c r="E39" s="21">
        <v>9912</v>
      </c>
      <c r="F39" s="8" t="s">
        <v>19</v>
      </c>
    </row>
    <row r="40" spans="1:6">
      <c r="A40" t="s">
        <v>15</v>
      </c>
      <c r="B40" t="s">
        <v>33</v>
      </c>
      <c r="C40" s="7" t="s">
        <v>1020</v>
      </c>
      <c r="D40" s="3">
        <v>44907</v>
      </c>
      <c r="E40" s="21">
        <v>49855</v>
      </c>
      <c r="F40" s="8" t="s">
        <v>19</v>
      </c>
    </row>
    <row r="41" spans="1:6">
      <c r="A41" t="s">
        <v>15</v>
      </c>
      <c r="B41" t="s">
        <v>33</v>
      </c>
      <c r="C41" s="7" t="s">
        <v>1021</v>
      </c>
      <c r="D41" s="3">
        <v>45016</v>
      </c>
      <c r="E41" s="21">
        <v>103385.01</v>
      </c>
      <c r="F41" s="8" t="s">
        <v>19</v>
      </c>
    </row>
    <row r="42" spans="1:6">
      <c r="A42" t="s">
        <v>15</v>
      </c>
      <c r="B42" t="s">
        <v>33</v>
      </c>
      <c r="C42" s="7" t="s">
        <v>1022</v>
      </c>
      <c r="D42" s="3">
        <v>45016</v>
      </c>
      <c r="E42" s="21">
        <v>117292</v>
      </c>
      <c r="F42" s="8" t="s">
        <v>19</v>
      </c>
    </row>
    <row r="43" spans="1:6">
      <c r="A43" t="s">
        <v>15</v>
      </c>
      <c r="B43" t="s">
        <v>33</v>
      </c>
      <c r="C43" s="7" t="s">
        <v>1023</v>
      </c>
      <c r="D43" s="3">
        <v>45043</v>
      </c>
      <c r="E43" s="21">
        <v>62031.01</v>
      </c>
      <c r="F43" s="8" t="s">
        <v>19</v>
      </c>
    </row>
    <row r="44" spans="1:6">
      <c r="A44" t="s">
        <v>15</v>
      </c>
      <c r="B44" t="s">
        <v>33</v>
      </c>
      <c r="C44" s="7" t="s">
        <v>1024</v>
      </c>
      <c r="D44" s="3">
        <v>45078</v>
      </c>
      <c r="E44" s="21">
        <v>92063.6</v>
      </c>
      <c r="F44" s="8" t="s">
        <v>19</v>
      </c>
    </row>
    <row r="45" spans="1:6">
      <c r="A45" t="s">
        <v>15</v>
      </c>
      <c r="B45" t="s">
        <v>33</v>
      </c>
      <c r="C45" s="7" t="s">
        <v>1025</v>
      </c>
      <c r="D45" s="3">
        <v>45101</v>
      </c>
      <c r="E45" s="21">
        <v>41354</v>
      </c>
      <c r="F45" s="8" t="s">
        <v>19</v>
      </c>
    </row>
    <row r="46" spans="1:6">
      <c r="A46" t="s">
        <v>15</v>
      </c>
      <c r="B46" t="s">
        <v>33</v>
      </c>
      <c r="C46" s="7" t="s">
        <v>1026</v>
      </c>
      <c r="D46" s="3">
        <v>45261</v>
      </c>
      <c r="E46" s="21">
        <v>41354.160000000003</v>
      </c>
      <c r="F46" s="8" t="s">
        <v>19</v>
      </c>
    </row>
    <row r="47" spans="1:6">
      <c r="A47" t="s">
        <v>15</v>
      </c>
      <c r="B47" t="s">
        <v>37</v>
      </c>
      <c r="C47" s="7" t="s">
        <v>1027</v>
      </c>
      <c r="D47" s="3">
        <v>45199</v>
      </c>
      <c r="E47" s="21">
        <v>134940</v>
      </c>
      <c r="F47" s="8" t="s">
        <v>19</v>
      </c>
    </row>
    <row r="48" spans="1:6">
      <c r="A48" t="s">
        <v>15</v>
      </c>
      <c r="B48" t="s">
        <v>37</v>
      </c>
      <c r="C48" s="7" t="s">
        <v>1028</v>
      </c>
      <c r="D48" s="3">
        <v>45199</v>
      </c>
      <c r="E48" s="21">
        <v>374611</v>
      </c>
      <c r="F48" s="8" t="s">
        <v>19</v>
      </c>
    </row>
    <row r="49" spans="1:6">
      <c r="A49" t="s">
        <v>15</v>
      </c>
      <c r="B49" t="s">
        <v>38</v>
      </c>
      <c r="C49" s="7">
        <v>3</v>
      </c>
      <c r="D49" s="3">
        <v>45747</v>
      </c>
      <c r="E49" s="21">
        <v>14769.6</v>
      </c>
      <c r="F49" s="8" t="s">
        <v>25</v>
      </c>
    </row>
    <row r="50" spans="1:6" hidden="1">
      <c r="A50" t="s">
        <v>15</v>
      </c>
      <c r="B50" t="s">
        <v>39</v>
      </c>
      <c r="C50" s="7"/>
    </row>
    <row r="51" spans="1:6" hidden="1">
      <c r="A51" t="s">
        <v>15</v>
      </c>
      <c r="B51" t="s">
        <v>40</v>
      </c>
      <c r="C51" s="7"/>
    </row>
    <row r="52" spans="1:6" hidden="1">
      <c r="A52" t="s">
        <v>15</v>
      </c>
      <c r="B52" t="s">
        <v>41</v>
      </c>
      <c r="C52" s="7"/>
    </row>
    <row r="53" spans="1:6">
      <c r="A53" t="s">
        <v>15</v>
      </c>
      <c r="B53" t="s">
        <v>42</v>
      </c>
      <c r="C53" s="7" t="s">
        <v>1029</v>
      </c>
      <c r="D53" s="3">
        <v>45741</v>
      </c>
      <c r="E53" s="21">
        <v>82600</v>
      </c>
      <c r="F53" t="s">
        <v>19</v>
      </c>
    </row>
    <row r="54" spans="1:6">
      <c r="A54" t="s">
        <v>15</v>
      </c>
      <c r="B54" t="s">
        <v>42</v>
      </c>
      <c r="C54" s="7" t="s">
        <v>1030</v>
      </c>
      <c r="D54" s="3">
        <v>45741</v>
      </c>
      <c r="E54" s="21">
        <v>123900</v>
      </c>
      <c r="F54" t="s">
        <v>19</v>
      </c>
    </row>
    <row r="55" spans="1:6">
      <c r="A55" t="s">
        <v>15</v>
      </c>
      <c r="B55" t="s">
        <v>42</v>
      </c>
      <c r="C55" s="7" t="s">
        <v>1031</v>
      </c>
      <c r="D55" s="3">
        <v>45741</v>
      </c>
      <c r="E55" s="21">
        <v>35400</v>
      </c>
      <c r="F55" t="s">
        <v>19</v>
      </c>
    </row>
    <row r="56" spans="1:6">
      <c r="A56" t="s">
        <v>15</v>
      </c>
      <c r="B56" t="s">
        <v>42</v>
      </c>
      <c r="C56" s="11" t="s">
        <v>1032</v>
      </c>
      <c r="D56" s="3">
        <v>45741</v>
      </c>
      <c r="E56" s="21">
        <v>35400</v>
      </c>
      <c r="F56" s="8" t="s">
        <v>19</v>
      </c>
    </row>
    <row r="57" spans="1:6" hidden="1">
      <c r="A57" t="s">
        <v>15</v>
      </c>
      <c r="B57" t="s">
        <v>43</v>
      </c>
      <c r="C57" s="7"/>
      <c r="F57" s="8"/>
    </row>
    <row r="58" spans="1:6">
      <c r="A58" t="s">
        <v>15</v>
      </c>
      <c r="B58" t="s">
        <v>44</v>
      </c>
      <c r="C58" s="11" t="s">
        <v>1033</v>
      </c>
      <c r="D58" s="3">
        <v>45001</v>
      </c>
      <c r="E58" s="21">
        <v>59531</v>
      </c>
      <c r="F58" s="8" t="s">
        <v>19</v>
      </c>
    </row>
    <row r="59" spans="1:6">
      <c r="A59" t="s">
        <v>15</v>
      </c>
      <c r="B59" t="s">
        <v>45</v>
      </c>
      <c r="C59" s="7" t="s">
        <v>1034</v>
      </c>
      <c r="D59" s="3">
        <v>45687</v>
      </c>
      <c r="E59" s="21">
        <v>58069</v>
      </c>
      <c r="F59" s="8" t="s">
        <v>19</v>
      </c>
    </row>
    <row r="60" spans="1:6" hidden="1">
      <c r="A60" t="s">
        <v>15</v>
      </c>
      <c r="B60" t="s">
        <v>46</v>
      </c>
      <c r="C60" s="7"/>
    </row>
    <row r="61" spans="1:6" hidden="1">
      <c r="A61" t="s">
        <v>15</v>
      </c>
      <c r="B61" t="s">
        <v>47</v>
      </c>
      <c r="C61" s="7"/>
    </row>
    <row r="62" spans="1:6" hidden="1">
      <c r="A62" t="s">
        <v>15</v>
      </c>
      <c r="B62" t="s">
        <v>48</v>
      </c>
      <c r="C62" s="7"/>
    </row>
    <row r="63" spans="1:6" hidden="1">
      <c r="A63" t="s">
        <v>15</v>
      </c>
      <c r="B63" t="s">
        <v>49</v>
      </c>
      <c r="C63" s="7"/>
    </row>
    <row r="64" spans="1:6" hidden="1">
      <c r="A64" t="s">
        <v>15</v>
      </c>
      <c r="B64" t="s">
        <v>50</v>
      </c>
      <c r="C64" s="7"/>
    </row>
    <row r="65" spans="1:6" hidden="1">
      <c r="A65" t="s">
        <v>15</v>
      </c>
      <c r="B65" t="s">
        <v>51</v>
      </c>
      <c r="C65" s="7"/>
    </row>
    <row r="66" spans="1:6" hidden="1">
      <c r="A66" t="s">
        <v>15</v>
      </c>
      <c r="B66" t="s">
        <v>52</v>
      </c>
      <c r="C66" s="7"/>
    </row>
    <row r="67" spans="1:6" hidden="1">
      <c r="A67" t="s">
        <v>15</v>
      </c>
      <c r="B67" t="s">
        <v>53</v>
      </c>
      <c r="C67" s="7"/>
    </row>
    <row r="68" spans="1:6" hidden="1">
      <c r="A68" t="s">
        <v>15</v>
      </c>
      <c r="B68" t="s">
        <v>54</v>
      </c>
      <c r="C68" s="7"/>
    </row>
    <row r="69" spans="1:6" hidden="1">
      <c r="A69" t="s">
        <v>15</v>
      </c>
      <c r="B69" t="s">
        <v>55</v>
      </c>
      <c r="C69" s="7"/>
    </row>
    <row r="70" spans="1:6" hidden="1">
      <c r="A70" t="s">
        <v>15</v>
      </c>
      <c r="B70" t="s">
        <v>56</v>
      </c>
      <c r="C70" s="7"/>
    </row>
    <row r="71" spans="1:6" hidden="1">
      <c r="A71" t="s">
        <v>15</v>
      </c>
      <c r="B71" t="s">
        <v>57</v>
      </c>
      <c r="C71" s="7"/>
    </row>
    <row r="72" spans="1:6">
      <c r="A72" t="s">
        <v>15</v>
      </c>
      <c r="B72" t="s">
        <v>58</v>
      </c>
      <c r="C72" s="7">
        <v>4</v>
      </c>
      <c r="D72" s="3">
        <v>45747</v>
      </c>
      <c r="E72" s="21">
        <v>22382888</v>
      </c>
      <c r="F72" t="s">
        <v>25</v>
      </c>
    </row>
    <row r="73" spans="1:6" hidden="1">
      <c r="A73" t="s">
        <v>15</v>
      </c>
      <c r="B73" t="s">
        <v>59</v>
      </c>
      <c r="C73" s="7"/>
    </row>
    <row r="74" spans="1:6" hidden="1">
      <c r="A74" t="s">
        <v>15</v>
      </c>
      <c r="B74" t="s">
        <v>60</v>
      </c>
      <c r="C74" s="7"/>
    </row>
    <row r="75" spans="1:6" hidden="1">
      <c r="A75" t="s">
        <v>15</v>
      </c>
      <c r="B75" t="s">
        <v>61</v>
      </c>
      <c r="C75" s="7"/>
    </row>
    <row r="76" spans="1:6">
      <c r="A76" t="s">
        <v>15</v>
      </c>
      <c r="B76" t="s">
        <v>62</v>
      </c>
      <c r="C76" s="10" t="s">
        <v>1035</v>
      </c>
      <c r="D76" s="3">
        <v>45681</v>
      </c>
      <c r="E76" s="21">
        <v>208800</v>
      </c>
      <c r="F76" t="s">
        <v>19</v>
      </c>
    </row>
    <row r="77" spans="1:6">
      <c r="A77" t="s">
        <v>15</v>
      </c>
      <c r="B77" t="s">
        <v>62</v>
      </c>
      <c r="C77" s="10" t="s">
        <v>1036</v>
      </c>
      <c r="D77" s="3">
        <v>45735</v>
      </c>
      <c r="E77" s="21">
        <v>977772</v>
      </c>
      <c r="F77" t="s">
        <v>19</v>
      </c>
    </row>
    <row r="78" spans="1:6" hidden="1">
      <c r="A78" t="s">
        <v>15</v>
      </c>
      <c r="B78" t="s">
        <v>63</v>
      </c>
      <c r="C78" s="7"/>
    </row>
    <row r="79" spans="1:6">
      <c r="A79" t="s">
        <v>15</v>
      </c>
      <c r="B79" t="s">
        <v>64</v>
      </c>
      <c r="C79" s="7" t="s">
        <v>1037</v>
      </c>
      <c r="D79" s="3">
        <v>45635</v>
      </c>
      <c r="E79" s="21">
        <f>435149-7375.4</f>
        <v>427773.6</v>
      </c>
      <c r="F79" t="s">
        <v>19</v>
      </c>
    </row>
    <row r="80" spans="1:6">
      <c r="A80" t="s">
        <v>15</v>
      </c>
      <c r="B80" t="s">
        <v>64</v>
      </c>
      <c r="C80" s="7" t="s">
        <v>1038</v>
      </c>
      <c r="D80" s="3">
        <v>45551</v>
      </c>
      <c r="E80" s="21">
        <f>28473-1914.55</f>
        <v>26558.45</v>
      </c>
      <c r="F80" t="s">
        <v>19</v>
      </c>
    </row>
    <row r="81" spans="1:8">
      <c r="A81" t="s">
        <v>15</v>
      </c>
      <c r="B81" t="s">
        <v>65</v>
      </c>
      <c r="C81" s="10" t="s">
        <v>1039</v>
      </c>
      <c r="D81" s="3">
        <v>45149</v>
      </c>
      <c r="E81" s="21">
        <v>30000</v>
      </c>
      <c r="F81" t="s">
        <v>19</v>
      </c>
    </row>
    <row r="82" spans="1:8">
      <c r="A82" t="s">
        <v>15</v>
      </c>
      <c r="B82" t="s">
        <v>65</v>
      </c>
      <c r="C82" s="10">
        <v>5</v>
      </c>
      <c r="D82" s="3">
        <v>45747</v>
      </c>
      <c r="E82" s="21">
        <v>83981</v>
      </c>
      <c r="F82" t="s">
        <v>25</v>
      </c>
      <c r="H82" s="4"/>
    </row>
    <row r="83" spans="1:8" hidden="1">
      <c r="A83" t="s">
        <v>15</v>
      </c>
      <c r="B83" t="s">
        <v>66</v>
      </c>
      <c r="C83" s="7"/>
    </row>
    <row r="84" spans="1:8" hidden="1">
      <c r="A84" t="s">
        <v>15</v>
      </c>
      <c r="B84" t="s">
        <v>67</v>
      </c>
      <c r="C84" s="7"/>
    </row>
    <row r="85" spans="1:8">
      <c r="A85" t="s">
        <v>15</v>
      </c>
      <c r="B85" t="s">
        <v>68</v>
      </c>
      <c r="C85" s="7" t="s">
        <v>1040</v>
      </c>
      <c r="D85" s="3">
        <v>45707</v>
      </c>
      <c r="E85" s="21">
        <v>1556477</v>
      </c>
      <c r="F85" t="s">
        <v>19</v>
      </c>
    </row>
    <row r="86" spans="1:8" hidden="1">
      <c r="A86" t="s">
        <v>15</v>
      </c>
      <c r="B86" t="s">
        <v>69</v>
      </c>
      <c r="C86" s="7"/>
    </row>
    <row r="87" spans="1:8">
      <c r="A87" t="s">
        <v>15</v>
      </c>
      <c r="B87" t="s">
        <v>70</v>
      </c>
      <c r="C87" s="7" t="s">
        <v>1041</v>
      </c>
      <c r="D87" s="3">
        <v>45734</v>
      </c>
      <c r="E87" s="21">
        <v>147500</v>
      </c>
      <c r="F87" t="s">
        <v>19</v>
      </c>
    </row>
    <row r="88" spans="1:8">
      <c r="A88" t="s">
        <v>15</v>
      </c>
      <c r="B88" t="s">
        <v>71</v>
      </c>
      <c r="C88" s="7" t="s">
        <v>1042</v>
      </c>
      <c r="D88" s="3">
        <v>45363</v>
      </c>
      <c r="E88" s="21">
        <v>206453.6</v>
      </c>
      <c r="F88" t="s">
        <v>19</v>
      </c>
    </row>
    <row r="89" spans="1:8">
      <c r="A89" t="s">
        <v>15</v>
      </c>
      <c r="B89" t="s">
        <v>72</v>
      </c>
      <c r="C89" s="7" t="s">
        <v>1043</v>
      </c>
      <c r="D89" s="3">
        <v>45199</v>
      </c>
      <c r="E89" s="21">
        <v>132214.25</v>
      </c>
      <c r="F89" t="s">
        <v>19</v>
      </c>
    </row>
    <row r="90" spans="1:8" hidden="1">
      <c r="A90" t="s">
        <v>15</v>
      </c>
      <c r="B90" t="s">
        <v>73</v>
      </c>
      <c r="C90" s="7"/>
    </row>
    <row r="91" spans="1:8">
      <c r="A91" t="s">
        <v>15</v>
      </c>
      <c r="B91" t="s">
        <v>74</v>
      </c>
      <c r="C91" s="7" t="s">
        <v>1044</v>
      </c>
      <c r="D91" s="3">
        <v>45199</v>
      </c>
      <c r="E91" s="21">
        <v>14000</v>
      </c>
      <c r="F91" t="s">
        <v>19</v>
      </c>
    </row>
    <row r="92" spans="1:8">
      <c r="A92" t="s">
        <v>15</v>
      </c>
      <c r="B92" t="s">
        <v>75</v>
      </c>
      <c r="C92" s="7" t="s">
        <v>1045</v>
      </c>
      <c r="D92" s="3">
        <v>45199</v>
      </c>
      <c r="E92" s="4">
        <v>17764</v>
      </c>
      <c r="F92" t="s">
        <v>19</v>
      </c>
    </row>
    <row r="93" spans="1:8">
      <c r="A93" t="s">
        <v>15</v>
      </c>
      <c r="B93" t="s">
        <v>75</v>
      </c>
      <c r="C93" s="7" t="s">
        <v>1046</v>
      </c>
      <c r="D93" s="3">
        <v>45199</v>
      </c>
      <c r="E93" s="4">
        <v>7989</v>
      </c>
      <c r="F93" t="s">
        <v>19</v>
      </c>
    </row>
    <row r="94" spans="1:8" hidden="1">
      <c r="A94" t="s">
        <v>15</v>
      </c>
      <c r="B94" t="s">
        <v>76</v>
      </c>
      <c r="C94" s="7"/>
    </row>
    <row r="95" spans="1:8">
      <c r="A95" t="s">
        <v>15</v>
      </c>
      <c r="B95" t="s">
        <v>77</v>
      </c>
      <c r="C95" s="7" t="s">
        <v>1047</v>
      </c>
      <c r="D95" s="3">
        <v>45199</v>
      </c>
      <c r="E95" s="21">
        <v>14000</v>
      </c>
      <c r="F95" t="s">
        <v>19</v>
      </c>
    </row>
    <row r="96" spans="1:8" hidden="1">
      <c r="A96" t="s">
        <v>15</v>
      </c>
      <c r="B96" t="s">
        <v>78</v>
      </c>
      <c r="C96" s="7"/>
    </row>
    <row r="97" spans="1:6" hidden="1">
      <c r="A97" t="s">
        <v>15</v>
      </c>
      <c r="B97" t="s">
        <v>79</v>
      </c>
      <c r="C97" s="7"/>
    </row>
    <row r="98" spans="1:6" hidden="1">
      <c r="A98" t="s">
        <v>15</v>
      </c>
      <c r="B98" t="s">
        <v>80</v>
      </c>
      <c r="C98" s="7"/>
    </row>
    <row r="99" spans="1:6" hidden="1">
      <c r="A99" t="s">
        <v>15</v>
      </c>
      <c r="B99" t="s">
        <v>81</v>
      </c>
      <c r="C99" s="7"/>
    </row>
    <row r="100" spans="1:6" hidden="1">
      <c r="A100" t="s">
        <v>15</v>
      </c>
      <c r="B100" t="s">
        <v>82</v>
      </c>
      <c r="C100" s="7"/>
    </row>
    <row r="101" spans="1:6" hidden="1">
      <c r="A101" t="s">
        <v>15</v>
      </c>
      <c r="B101" t="s">
        <v>83</v>
      </c>
      <c r="C101" s="7"/>
    </row>
    <row r="102" spans="1:6" hidden="1">
      <c r="A102" t="s">
        <v>15</v>
      </c>
      <c r="B102" t="s">
        <v>84</v>
      </c>
      <c r="C102" s="7"/>
    </row>
    <row r="103" spans="1:6" hidden="1">
      <c r="A103" t="s">
        <v>15</v>
      </c>
      <c r="B103" t="s">
        <v>85</v>
      </c>
      <c r="C103" s="7"/>
    </row>
    <row r="104" spans="1:6" hidden="1">
      <c r="A104" t="s">
        <v>15</v>
      </c>
      <c r="B104" t="s">
        <v>86</v>
      </c>
      <c r="C104" s="7"/>
    </row>
    <row r="105" spans="1:6" hidden="1">
      <c r="A105" t="s">
        <v>15</v>
      </c>
      <c r="B105" t="s">
        <v>87</v>
      </c>
      <c r="C105" s="7"/>
    </row>
    <row r="106" spans="1:6" hidden="1">
      <c r="A106" t="s">
        <v>15</v>
      </c>
      <c r="B106" t="s">
        <v>88</v>
      </c>
      <c r="C106" s="7"/>
    </row>
    <row r="107" spans="1:6" hidden="1">
      <c r="A107" t="s">
        <v>15</v>
      </c>
      <c r="B107" t="s">
        <v>89</v>
      </c>
      <c r="C107" s="7"/>
    </row>
    <row r="108" spans="1:6" hidden="1">
      <c r="A108" t="s">
        <v>15</v>
      </c>
      <c r="B108" t="s">
        <v>90</v>
      </c>
      <c r="C108" s="7"/>
    </row>
    <row r="109" spans="1:6" hidden="1">
      <c r="A109" t="s">
        <v>15</v>
      </c>
      <c r="B109" t="s">
        <v>91</v>
      </c>
      <c r="C109" s="7"/>
    </row>
    <row r="110" spans="1:6">
      <c r="A110" t="s">
        <v>15</v>
      </c>
      <c r="B110" t="s">
        <v>92</v>
      </c>
      <c r="C110" s="7" t="s">
        <v>1048</v>
      </c>
      <c r="D110" s="3">
        <v>45489</v>
      </c>
      <c r="E110" s="21">
        <v>16000</v>
      </c>
      <c r="F110" t="s">
        <v>19</v>
      </c>
    </row>
    <row r="111" spans="1:6">
      <c r="A111" t="s">
        <v>15</v>
      </c>
      <c r="B111" t="s">
        <v>93</v>
      </c>
      <c r="C111" s="7" t="s">
        <v>1049</v>
      </c>
      <c r="D111" s="3">
        <v>44979</v>
      </c>
      <c r="E111" s="21">
        <v>241116.29</v>
      </c>
      <c r="F111" t="s">
        <v>19</v>
      </c>
    </row>
    <row r="112" spans="1:6" hidden="1">
      <c r="A112" t="s">
        <v>15</v>
      </c>
      <c r="B112" t="s">
        <v>94</v>
      </c>
      <c r="C112" s="7"/>
    </row>
    <row r="113" spans="1:7" hidden="1">
      <c r="A113" t="s">
        <v>15</v>
      </c>
      <c r="B113" t="s">
        <v>95</v>
      </c>
      <c r="C113" s="7"/>
    </row>
    <row r="114" spans="1:7">
      <c r="A114" t="s">
        <v>15</v>
      </c>
      <c r="B114" t="s">
        <v>96</v>
      </c>
      <c r="C114" s="7" t="s">
        <v>1050</v>
      </c>
      <c r="D114" s="3">
        <v>45027</v>
      </c>
      <c r="E114" s="21">
        <v>88000</v>
      </c>
      <c r="F114" t="s">
        <v>19</v>
      </c>
    </row>
    <row r="115" spans="1:7">
      <c r="A115" t="s">
        <v>15</v>
      </c>
      <c r="B115" t="s">
        <v>96</v>
      </c>
      <c r="C115" s="7" t="s">
        <v>1051</v>
      </c>
      <c r="D115" s="3">
        <v>45337</v>
      </c>
      <c r="E115" s="21">
        <v>1975</v>
      </c>
      <c r="F115" t="s">
        <v>19</v>
      </c>
    </row>
    <row r="116" spans="1:7">
      <c r="A116" t="s">
        <v>15</v>
      </c>
      <c r="B116" t="s">
        <v>97</v>
      </c>
      <c r="C116" s="7" t="s">
        <v>1052</v>
      </c>
      <c r="D116" s="3">
        <v>45378</v>
      </c>
      <c r="E116" s="21">
        <v>444625.45</v>
      </c>
      <c r="F116" t="s">
        <v>19</v>
      </c>
    </row>
    <row r="117" spans="1:7" hidden="1">
      <c r="A117" t="s">
        <v>15</v>
      </c>
      <c r="B117" t="s">
        <v>98</v>
      </c>
      <c r="C117" s="7"/>
    </row>
    <row r="118" spans="1:7">
      <c r="A118" t="s">
        <v>15</v>
      </c>
      <c r="B118" t="s">
        <v>99</v>
      </c>
      <c r="C118" s="7" t="s">
        <v>1053</v>
      </c>
      <c r="D118" s="3">
        <v>45728</v>
      </c>
      <c r="E118" s="21">
        <v>618494.4</v>
      </c>
      <c r="F118" t="s">
        <v>19</v>
      </c>
    </row>
    <row r="119" spans="1:7" hidden="1">
      <c r="A119" t="s">
        <v>15</v>
      </c>
      <c r="B119" t="s">
        <v>100</v>
      </c>
      <c r="C119" s="7"/>
    </row>
    <row r="120" spans="1:7">
      <c r="A120" t="s">
        <v>15</v>
      </c>
      <c r="B120" t="s">
        <v>101</v>
      </c>
      <c r="C120" s="7">
        <v>6</v>
      </c>
      <c r="D120" s="3">
        <v>45747</v>
      </c>
      <c r="E120" s="21">
        <v>6000</v>
      </c>
      <c r="F120" t="s">
        <v>25</v>
      </c>
    </row>
    <row r="121" spans="1:7">
      <c r="A121" t="s">
        <v>15</v>
      </c>
      <c r="B121" t="s">
        <v>101</v>
      </c>
      <c r="C121" s="7" t="s">
        <v>1054</v>
      </c>
      <c r="D121" s="3">
        <v>45737</v>
      </c>
      <c r="E121" s="21">
        <v>3740000</v>
      </c>
      <c r="F121" t="s">
        <v>19</v>
      </c>
    </row>
    <row r="122" spans="1:7">
      <c r="A122" t="s">
        <v>15</v>
      </c>
      <c r="B122" t="s">
        <v>101</v>
      </c>
      <c r="C122" s="7" t="s">
        <v>1055</v>
      </c>
      <c r="D122" s="3">
        <v>45371</v>
      </c>
      <c r="E122" s="21">
        <v>13031.49</v>
      </c>
      <c r="F122" t="s">
        <v>19</v>
      </c>
      <c r="G122" s="4"/>
    </row>
    <row r="123" spans="1:7">
      <c r="A123" t="s">
        <v>15</v>
      </c>
      <c r="B123" t="s">
        <v>102</v>
      </c>
      <c r="C123" s="7" t="s">
        <v>1056</v>
      </c>
      <c r="D123" s="3">
        <v>45743</v>
      </c>
      <c r="E123" s="21">
        <v>7610</v>
      </c>
      <c r="F123" t="s">
        <v>19</v>
      </c>
    </row>
    <row r="124" spans="1:7" hidden="1">
      <c r="A124" t="s">
        <v>15</v>
      </c>
      <c r="B124" t="s">
        <v>103</v>
      </c>
      <c r="C124" s="7"/>
    </row>
    <row r="125" spans="1:7" hidden="1">
      <c r="A125" t="s">
        <v>15</v>
      </c>
      <c r="B125" t="s">
        <v>104</v>
      </c>
      <c r="C125" s="7"/>
    </row>
    <row r="126" spans="1:7">
      <c r="A126" t="s">
        <v>15</v>
      </c>
      <c r="B126" t="s">
        <v>105</v>
      </c>
      <c r="C126" s="7" t="s">
        <v>1057</v>
      </c>
      <c r="D126" s="3">
        <v>42440</v>
      </c>
      <c r="E126" s="21">
        <v>80721</v>
      </c>
      <c r="F126" t="s">
        <v>19</v>
      </c>
    </row>
    <row r="127" spans="1:7">
      <c r="A127" t="s">
        <v>15</v>
      </c>
      <c r="B127" t="s">
        <v>105</v>
      </c>
      <c r="C127" s="7" t="s">
        <v>1058</v>
      </c>
      <c r="D127" s="3">
        <v>44287</v>
      </c>
      <c r="E127" s="21">
        <v>73750</v>
      </c>
      <c r="F127" t="s">
        <v>19</v>
      </c>
    </row>
    <row r="128" spans="1:7">
      <c r="A128" t="s">
        <v>15</v>
      </c>
      <c r="B128" t="s">
        <v>106</v>
      </c>
      <c r="C128" s="7" t="s">
        <v>1059</v>
      </c>
      <c r="D128" s="3">
        <v>42452</v>
      </c>
      <c r="E128" s="21">
        <v>65464</v>
      </c>
      <c r="F128" t="s">
        <v>19</v>
      </c>
    </row>
    <row r="129" spans="1:6">
      <c r="A129" t="s">
        <v>15</v>
      </c>
      <c r="B129" t="s">
        <v>107</v>
      </c>
      <c r="C129" s="7" t="s">
        <v>1060</v>
      </c>
      <c r="D129" s="3">
        <v>44287</v>
      </c>
      <c r="E129" s="21">
        <v>54870</v>
      </c>
      <c r="F129" t="s">
        <v>19</v>
      </c>
    </row>
    <row r="130" spans="1:6">
      <c r="A130" t="s">
        <v>15</v>
      </c>
      <c r="B130" t="s">
        <v>108</v>
      </c>
      <c r="C130" s="7" t="s">
        <v>1061</v>
      </c>
      <c r="D130" s="3">
        <v>44100</v>
      </c>
      <c r="E130" s="21">
        <v>91033</v>
      </c>
      <c r="F130" t="s">
        <v>19</v>
      </c>
    </row>
    <row r="131" spans="1:6">
      <c r="A131" t="s">
        <v>15</v>
      </c>
      <c r="B131" t="s">
        <v>109</v>
      </c>
      <c r="C131" s="7" t="s">
        <v>1062</v>
      </c>
      <c r="D131" s="3">
        <v>44100</v>
      </c>
      <c r="E131" s="21">
        <v>95533</v>
      </c>
      <c r="F131" t="s">
        <v>19</v>
      </c>
    </row>
    <row r="132" spans="1:6">
      <c r="A132" t="s">
        <v>15</v>
      </c>
      <c r="B132" t="s">
        <v>110</v>
      </c>
      <c r="C132" s="7" t="s">
        <v>1063</v>
      </c>
      <c r="D132" s="3">
        <v>44100</v>
      </c>
      <c r="E132" s="21">
        <v>95533</v>
      </c>
      <c r="F132" t="s">
        <v>19</v>
      </c>
    </row>
    <row r="133" spans="1:6">
      <c r="A133" t="s">
        <v>15</v>
      </c>
      <c r="B133" t="s">
        <v>111</v>
      </c>
      <c r="C133" s="7" t="s">
        <v>1064</v>
      </c>
      <c r="D133" s="3">
        <v>44358</v>
      </c>
      <c r="E133" s="21">
        <v>80960</v>
      </c>
      <c r="F133" t="s">
        <v>19</v>
      </c>
    </row>
    <row r="134" spans="1:6">
      <c r="A134" t="s">
        <v>15</v>
      </c>
      <c r="B134" t="s">
        <v>111</v>
      </c>
      <c r="C134" s="7" t="s">
        <v>1065</v>
      </c>
      <c r="D134" s="3">
        <v>44418</v>
      </c>
      <c r="E134" s="21">
        <v>10876</v>
      </c>
      <c r="F134" t="s">
        <v>19</v>
      </c>
    </row>
    <row r="135" spans="1:6" hidden="1">
      <c r="A135" t="s">
        <v>15</v>
      </c>
      <c r="B135" t="s">
        <v>112</v>
      </c>
      <c r="C135" s="7"/>
    </row>
    <row r="136" spans="1:6" hidden="1">
      <c r="A136" t="s">
        <v>15</v>
      </c>
      <c r="B136" t="s">
        <v>113</v>
      </c>
      <c r="C136" s="7"/>
    </row>
    <row r="137" spans="1:6">
      <c r="A137" t="s">
        <v>15</v>
      </c>
      <c r="B137" t="s">
        <v>114</v>
      </c>
      <c r="C137" s="7" t="s">
        <v>1066</v>
      </c>
      <c r="D137" s="3">
        <v>45740</v>
      </c>
      <c r="E137" s="21">
        <v>3189412</v>
      </c>
      <c r="F137" t="s">
        <v>19</v>
      </c>
    </row>
    <row r="138" spans="1:6">
      <c r="A138" t="s">
        <v>15</v>
      </c>
      <c r="B138" t="s">
        <v>114</v>
      </c>
      <c r="C138" s="7" t="s">
        <v>1067</v>
      </c>
      <c r="D138" s="3">
        <v>45740</v>
      </c>
      <c r="E138" s="21">
        <v>326340</v>
      </c>
      <c r="F138" t="s">
        <v>19</v>
      </c>
    </row>
    <row r="139" spans="1:6">
      <c r="A139" t="s">
        <v>15</v>
      </c>
      <c r="B139" t="s">
        <v>114</v>
      </c>
      <c r="C139" s="7" t="s">
        <v>1068</v>
      </c>
      <c r="D139" s="3">
        <v>45740</v>
      </c>
      <c r="E139" s="21">
        <v>799423</v>
      </c>
      <c r="F139" t="s">
        <v>19</v>
      </c>
    </row>
    <row r="140" spans="1:6">
      <c r="A140" t="s">
        <v>15</v>
      </c>
      <c r="B140" t="s">
        <v>115</v>
      </c>
      <c r="C140" s="7" t="s">
        <v>1069</v>
      </c>
      <c r="D140" s="3">
        <v>45638</v>
      </c>
      <c r="E140" s="21">
        <v>138030</v>
      </c>
      <c r="F140" t="s">
        <v>19</v>
      </c>
    </row>
    <row r="141" spans="1:6">
      <c r="A141" t="s">
        <v>15</v>
      </c>
      <c r="B141" t="s">
        <v>115</v>
      </c>
      <c r="C141" s="7" t="s">
        <v>1070</v>
      </c>
      <c r="D141" s="3">
        <v>45705</v>
      </c>
      <c r="E141" s="21">
        <v>6891953</v>
      </c>
      <c r="F141" t="s">
        <v>19</v>
      </c>
    </row>
    <row r="142" spans="1:6">
      <c r="A142" t="s">
        <v>15</v>
      </c>
      <c r="B142" t="s">
        <v>115</v>
      </c>
      <c r="C142" s="7" t="s">
        <v>1071</v>
      </c>
      <c r="D142" s="3">
        <v>45706</v>
      </c>
      <c r="E142" s="21">
        <v>15130271</v>
      </c>
      <c r="F142" t="s">
        <v>19</v>
      </c>
    </row>
    <row r="143" spans="1:6">
      <c r="A143" t="s">
        <v>15</v>
      </c>
      <c r="B143" t="s">
        <v>115</v>
      </c>
      <c r="C143" s="7" t="s">
        <v>1072</v>
      </c>
      <c r="D143" s="3">
        <v>45706</v>
      </c>
      <c r="E143" s="21">
        <v>9092915</v>
      </c>
      <c r="F143" t="s">
        <v>19</v>
      </c>
    </row>
    <row r="144" spans="1:6">
      <c r="A144" t="s">
        <v>15</v>
      </c>
      <c r="B144" t="s">
        <v>115</v>
      </c>
      <c r="C144" s="7" t="s">
        <v>1073</v>
      </c>
      <c r="D144" s="3">
        <v>45707</v>
      </c>
      <c r="E144" s="21">
        <v>15270812</v>
      </c>
      <c r="F144" t="s">
        <v>19</v>
      </c>
    </row>
    <row r="145" spans="1:6">
      <c r="A145" t="s">
        <v>15</v>
      </c>
      <c r="B145" t="s">
        <v>115</v>
      </c>
      <c r="C145" s="7" t="s">
        <v>1074</v>
      </c>
      <c r="D145" s="3">
        <v>45707</v>
      </c>
      <c r="E145" s="21">
        <v>57156953</v>
      </c>
      <c r="F145" t="s">
        <v>19</v>
      </c>
    </row>
    <row r="146" spans="1:6" hidden="1">
      <c r="A146" t="s">
        <v>15</v>
      </c>
      <c r="B146" t="s">
        <v>116</v>
      </c>
      <c r="C146" s="7"/>
    </row>
    <row r="147" spans="1:6">
      <c r="A147" t="s">
        <v>15</v>
      </c>
      <c r="B147" t="s">
        <v>117</v>
      </c>
      <c r="C147" s="7" t="s">
        <v>1075</v>
      </c>
      <c r="D147" s="3">
        <v>44008</v>
      </c>
      <c r="E147" s="21">
        <v>82666</v>
      </c>
      <c r="F147" t="s">
        <v>19</v>
      </c>
    </row>
    <row r="148" spans="1:6">
      <c r="A148" t="s">
        <v>15</v>
      </c>
      <c r="B148" t="s">
        <v>118</v>
      </c>
      <c r="C148" s="7" t="s">
        <v>1076</v>
      </c>
      <c r="D148" s="3">
        <v>44008</v>
      </c>
      <c r="E148" s="21">
        <v>99511</v>
      </c>
      <c r="F148" t="s">
        <v>19</v>
      </c>
    </row>
    <row r="149" spans="1:6" hidden="1">
      <c r="A149" t="s">
        <v>15</v>
      </c>
      <c r="B149" t="s">
        <v>119</v>
      </c>
      <c r="C149" s="7"/>
    </row>
    <row r="150" spans="1:6">
      <c r="A150" t="s">
        <v>15</v>
      </c>
      <c r="B150" t="s">
        <v>120</v>
      </c>
      <c r="C150" s="7" t="s">
        <v>1077</v>
      </c>
      <c r="D150" s="3">
        <v>45469</v>
      </c>
      <c r="E150" s="21">
        <v>90804</v>
      </c>
      <c r="F150" t="s">
        <v>19</v>
      </c>
    </row>
    <row r="151" spans="1:6">
      <c r="A151" t="s">
        <v>15</v>
      </c>
      <c r="B151" t="s">
        <v>121</v>
      </c>
      <c r="C151" s="7" t="s">
        <v>1078</v>
      </c>
      <c r="D151" s="3">
        <v>44400</v>
      </c>
      <c r="E151" s="21">
        <v>95533</v>
      </c>
      <c r="F151" t="s">
        <v>19</v>
      </c>
    </row>
    <row r="152" spans="1:6">
      <c r="A152" t="s">
        <v>15</v>
      </c>
      <c r="B152" t="s">
        <v>122</v>
      </c>
      <c r="C152" s="7" t="s">
        <v>1079</v>
      </c>
      <c r="D152" s="3">
        <v>44400</v>
      </c>
      <c r="E152" s="21">
        <v>95533</v>
      </c>
      <c r="F152" t="s">
        <v>19</v>
      </c>
    </row>
    <row r="153" spans="1:6">
      <c r="A153" t="s">
        <v>15</v>
      </c>
      <c r="B153" t="s">
        <v>123</v>
      </c>
      <c r="C153" s="7" t="s">
        <v>1080</v>
      </c>
      <c r="D153" s="3">
        <v>42544</v>
      </c>
      <c r="E153" s="21">
        <v>129887</v>
      </c>
      <c r="F153" t="s">
        <v>19</v>
      </c>
    </row>
    <row r="154" spans="1:6">
      <c r="A154" t="s">
        <v>15</v>
      </c>
      <c r="B154" t="s">
        <v>124</v>
      </c>
      <c r="C154" s="7" t="s">
        <v>1081</v>
      </c>
      <c r="D154" s="3">
        <v>44477</v>
      </c>
      <c r="E154" s="21">
        <v>238999</v>
      </c>
      <c r="F154" t="s">
        <v>19</v>
      </c>
    </row>
    <row r="155" spans="1:6">
      <c r="A155" t="s">
        <v>15</v>
      </c>
      <c r="B155" t="s">
        <v>125</v>
      </c>
      <c r="C155" s="7" t="s">
        <v>1082</v>
      </c>
      <c r="D155" s="3">
        <v>44074</v>
      </c>
      <c r="E155" s="21">
        <v>155731</v>
      </c>
      <c r="F155" t="s">
        <v>19</v>
      </c>
    </row>
    <row r="156" spans="1:6">
      <c r="A156" t="s">
        <v>15</v>
      </c>
      <c r="B156" t="s">
        <v>126</v>
      </c>
      <c r="C156" s="7" t="s">
        <v>1083</v>
      </c>
      <c r="D156" s="3">
        <v>45625</v>
      </c>
      <c r="E156" s="21">
        <v>248578.56</v>
      </c>
      <c r="F156" t="s">
        <v>19</v>
      </c>
    </row>
    <row r="157" spans="1:6">
      <c r="A157" t="s">
        <v>15</v>
      </c>
      <c r="B157" t="s">
        <v>127</v>
      </c>
      <c r="C157" s="7" t="s">
        <v>1084</v>
      </c>
      <c r="D157" s="3">
        <v>44728</v>
      </c>
      <c r="E157" s="21">
        <v>11448</v>
      </c>
      <c r="F157" t="s">
        <v>19</v>
      </c>
    </row>
    <row r="158" spans="1:6">
      <c r="A158" t="s">
        <v>15</v>
      </c>
      <c r="B158" t="s">
        <v>127</v>
      </c>
      <c r="C158" s="7" t="s">
        <v>1085</v>
      </c>
      <c r="D158" s="3">
        <v>44728</v>
      </c>
      <c r="E158" s="21">
        <v>15820.78</v>
      </c>
      <c r="F158" t="s">
        <v>19</v>
      </c>
    </row>
    <row r="159" spans="1:6">
      <c r="A159" t="s">
        <v>15</v>
      </c>
      <c r="B159" t="s">
        <v>127</v>
      </c>
      <c r="C159" s="7" t="s">
        <v>1086</v>
      </c>
      <c r="D159" s="3">
        <v>44651</v>
      </c>
      <c r="E159" s="21">
        <v>98810</v>
      </c>
      <c r="F159" t="s">
        <v>19</v>
      </c>
    </row>
    <row r="160" spans="1:6">
      <c r="A160" t="s">
        <v>15</v>
      </c>
      <c r="B160" t="s">
        <v>127</v>
      </c>
      <c r="C160" s="7" t="s">
        <v>1087</v>
      </c>
      <c r="D160" s="3">
        <v>44651</v>
      </c>
      <c r="E160" s="21">
        <v>142810</v>
      </c>
      <c r="F160" t="s">
        <v>19</v>
      </c>
    </row>
    <row r="161" spans="1:6">
      <c r="A161" t="s">
        <v>15</v>
      </c>
      <c r="B161" t="s">
        <v>128</v>
      </c>
      <c r="C161" s="7" t="s">
        <v>1088</v>
      </c>
      <c r="D161" s="3">
        <v>44008</v>
      </c>
      <c r="E161" s="21">
        <v>110091</v>
      </c>
      <c r="F161" t="s">
        <v>19</v>
      </c>
    </row>
    <row r="162" spans="1:6">
      <c r="A162" t="s">
        <v>15</v>
      </c>
      <c r="B162" t="s">
        <v>129</v>
      </c>
      <c r="C162" s="7" t="s">
        <v>1089</v>
      </c>
      <c r="D162" s="3">
        <v>44417</v>
      </c>
      <c r="E162" s="21">
        <v>234891</v>
      </c>
      <c r="F162" t="s">
        <v>19</v>
      </c>
    </row>
    <row r="163" spans="1:6">
      <c r="A163" t="s">
        <v>15</v>
      </c>
      <c r="B163" t="s">
        <v>130</v>
      </c>
      <c r="C163" s="7" t="s">
        <v>1090</v>
      </c>
      <c r="D163" s="3">
        <v>45287</v>
      </c>
      <c r="E163" s="21">
        <v>223452.9</v>
      </c>
      <c r="F163" t="s">
        <v>19</v>
      </c>
    </row>
    <row r="164" spans="1:6">
      <c r="A164" t="s">
        <v>15</v>
      </c>
      <c r="B164" t="s">
        <v>131</v>
      </c>
      <c r="C164" s="7" t="s">
        <v>1091</v>
      </c>
      <c r="D164" s="3">
        <v>44417</v>
      </c>
      <c r="E164" s="21">
        <v>247948</v>
      </c>
      <c r="F164" t="s">
        <v>19</v>
      </c>
    </row>
    <row r="165" spans="1:6" hidden="1">
      <c r="A165" t="s">
        <v>15</v>
      </c>
      <c r="B165" t="s">
        <v>132</v>
      </c>
      <c r="C165" s="7"/>
    </row>
    <row r="166" spans="1:6">
      <c r="A166" t="s">
        <v>15</v>
      </c>
      <c r="B166" t="s">
        <v>133</v>
      </c>
      <c r="C166" s="7" t="s">
        <v>1092</v>
      </c>
      <c r="D166" s="3">
        <v>45216</v>
      </c>
      <c r="E166" s="21">
        <v>155642</v>
      </c>
      <c r="F166" t="s">
        <v>19</v>
      </c>
    </row>
    <row r="167" spans="1:6">
      <c r="A167" t="s">
        <v>15</v>
      </c>
      <c r="B167" t="s">
        <v>134</v>
      </c>
      <c r="C167" s="7" t="s">
        <v>1093</v>
      </c>
      <c r="D167" s="3">
        <v>43369</v>
      </c>
      <c r="E167" s="21">
        <v>41939.919999999998</v>
      </c>
      <c r="F167" t="s">
        <v>19</v>
      </c>
    </row>
    <row r="168" spans="1:6">
      <c r="A168" t="s">
        <v>15</v>
      </c>
      <c r="B168" t="s">
        <v>134</v>
      </c>
      <c r="C168" s="7" t="s">
        <v>1094</v>
      </c>
      <c r="D168" s="3">
        <v>45499</v>
      </c>
      <c r="E168" s="21">
        <v>64752</v>
      </c>
      <c r="F168" t="s">
        <v>19</v>
      </c>
    </row>
    <row r="169" spans="1:6" hidden="1">
      <c r="A169" t="s">
        <v>15</v>
      </c>
      <c r="B169" t="s">
        <v>135</v>
      </c>
      <c r="C169" s="7"/>
    </row>
    <row r="170" spans="1:6">
      <c r="A170" t="s">
        <v>15</v>
      </c>
      <c r="B170" t="s">
        <v>136</v>
      </c>
      <c r="C170" s="7" t="s">
        <v>1095</v>
      </c>
      <c r="D170" s="3">
        <v>42925</v>
      </c>
      <c r="E170" s="21">
        <v>126849.25</v>
      </c>
      <c r="F170" t="s">
        <v>19</v>
      </c>
    </row>
    <row r="171" spans="1:6">
      <c r="A171" t="s">
        <v>15</v>
      </c>
      <c r="B171" t="s">
        <v>137</v>
      </c>
      <c r="C171" s="7" t="s">
        <v>1096</v>
      </c>
      <c r="D171" s="3">
        <v>42122</v>
      </c>
      <c r="E171" s="21">
        <v>2704.07</v>
      </c>
      <c r="F171" t="s">
        <v>19</v>
      </c>
    </row>
    <row r="172" spans="1:6">
      <c r="A172" t="s">
        <v>15</v>
      </c>
      <c r="B172" t="s">
        <v>137</v>
      </c>
      <c r="C172" s="7" t="s">
        <v>1097</v>
      </c>
      <c r="D172" s="3">
        <v>42640</v>
      </c>
      <c r="E172" s="21">
        <v>22723</v>
      </c>
      <c r="F172" t="s">
        <v>19</v>
      </c>
    </row>
    <row r="173" spans="1:6" hidden="1">
      <c r="A173" t="s">
        <v>15</v>
      </c>
      <c r="B173" t="s">
        <v>138</v>
      </c>
      <c r="C173" s="7"/>
    </row>
    <row r="174" spans="1:6" hidden="1">
      <c r="A174" t="s">
        <v>15</v>
      </c>
      <c r="B174" t="s">
        <v>140</v>
      </c>
      <c r="C174" s="7"/>
    </row>
    <row r="175" spans="1:6" hidden="1">
      <c r="A175" t="s">
        <v>15</v>
      </c>
      <c r="B175" t="s">
        <v>141</v>
      </c>
      <c r="C175" s="7"/>
    </row>
    <row r="176" spans="1:6">
      <c r="A176" t="s">
        <v>15</v>
      </c>
      <c r="B176" t="s">
        <v>142</v>
      </c>
      <c r="C176" s="7" t="s">
        <v>1098</v>
      </c>
      <c r="D176" s="3">
        <v>45199</v>
      </c>
      <c r="E176" s="21">
        <v>81736.800000000003</v>
      </c>
      <c r="F176" t="s">
        <v>19</v>
      </c>
    </row>
    <row r="177" spans="1:6">
      <c r="A177" t="s">
        <v>15</v>
      </c>
      <c r="B177" t="s">
        <v>142</v>
      </c>
      <c r="C177" s="7">
        <v>2530</v>
      </c>
      <c r="D177" s="3">
        <v>45426</v>
      </c>
      <c r="E177" s="21">
        <v>6398</v>
      </c>
      <c r="F177" t="s">
        <v>19</v>
      </c>
    </row>
    <row r="178" spans="1:6">
      <c r="A178" t="s">
        <v>15</v>
      </c>
      <c r="B178" t="s">
        <v>143</v>
      </c>
      <c r="C178" s="7" t="s">
        <v>1099</v>
      </c>
      <c r="D178" s="3">
        <v>45734</v>
      </c>
      <c r="E178" s="21">
        <v>158375</v>
      </c>
      <c r="F178" t="s">
        <v>19</v>
      </c>
    </row>
    <row r="179" spans="1:6" hidden="1">
      <c r="A179" t="s">
        <v>15</v>
      </c>
      <c r="B179" t="s">
        <v>144</v>
      </c>
      <c r="C179" s="7"/>
    </row>
    <row r="180" spans="1:6" hidden="1">
      <c r="A180" t="s">
        <v>15</v>
      </c>
      <c r="B180" t="s">
        <v>145</v>
      </c>
      <c r="C180" s="7"/>
    </row>
    <row r="181" spans="1:6" hidden="1">
      <c r="A181" t="s">
        <v>15</v>
      </c>
      <c r="B181" t="s">
        <v>146</v>
      </c>
      <c r="C181" s="7"/>
    </row>
    <row r="182" spans="1:6">
      <c r="A182" t="s">
        <v>15</v>
      </c>
      <c r="B182" t="s">
        <v>147</v>
      </c>
      <c r="C182" s="7" t="s">
        <v>1100</v>
      </c>
      <c r="D182" s="3">
        <v>45199</v>
      </c>
      <c r="E182" s="21">
        <v>58359.61</v>
      </c>
      <c r="F182" t="s">
        <v>19</v>
      </c>
    </row>
    <row r="183" spans="1:6">
      <c r="A183" t="s">
        <v>15</v>
      </c>
      <c r="B183" t="s">
        <v>147</v>
      </c>
      <c r="C183" s="7" t="s">
        <v>1101</v>
      </c>
      <c r="D183" s="3">
        <v>45443</v>
      </c>
      <c r="E183" s="21">
        <v>5398.18</v>
      </c>
      <c r="F183" t="s">
        <v>19</v>
      </c>
    </row>
    <row r="184" spans="1:6">
      <c r="A184" t="s">
        <v>15</v>
      </c>
      <c r="B184" t="s">
        <v>148</v>
      </c>
      <c r="C184" s="7" t="s">
        <v>1102</v>
      </c>
      <c r="D184" s="3">
        <v>44956</v>
      </c>
      <c r="E184" s="21">
        <v>49813.120000000003</v>
      </c>
      <c r="F184" t="s">
        <v>19</v>
      </c>
    </row>
    <row r="185" spans="1:6">
      <c r="A185" t="s">
        <v>15</v>
      </c>
      <c r="B185" t="s">
        <v>148</v>
      </c>
      <c r="C185" s="7" t="s">
        <v>1103</v>
      </c>
      <c r="D185" s="3">
        <v>45373</v>
      </c>
      <c r="E185" s="21">
        <v>3598.94</v>
      </c>
      <c r="F185" t="s">
        <v>19</v>
      </c>
    </row>
    <row r="186" spans="1:6">
      <c r="A186" t="s">
        <v>15</v>
      </c>
      <c r="B186" t="s">
        <v>148</v>
      </c>
      <c r="C186" s="7" t="s">
        <v>1104</v>
      </c>
      <c r="D186" s="3">
        <v>45645</v>
      </c>
      <c r="E186" s="21">
        <v>20123</v>
      </c>
      <c r="F186" t="s">
        <v>19</v>
      </c>
    </row>
    <row r="187" spans="1:6" hidden="1">
      <c r="A187" t="s">
        <v>15</v>
      </c>
      <c r="B187" t="s">
        <v>149</v>
      </c>
      <c r="C187" s="7"/>
    </row>
    <row r="188" spans="1:6" hidden="1">
      <c r="A188" t="s">
        <v>15</v>
      </c>
      <c r="B188" t="s">
        <v>150</v>
      </c>
      <c r="C188" s="7"/>
    </row>
    <row r="189" spans="1:6" hidden="1">
      <c r="A189" t="s">
        <v>15</v>
      </c>
      <c r="B189" t="s">
        <v>151</v>
      </c>
      <c r="C189" s="7"/>
    </row>
    <row r="190" spans="1:6">
      <c r="A190" t="s">
        <v>15</v>
      </c>
      <c r="B190" t="s">
        <v>152</v>
      </c>
      <c r="C190" s="7">
        <v>1738</v>
      </c>
      <c r="D190" s="3">
        <v>44812</v>
      </c>
      <c r="E190" s="21">
        <v>24783.68</v>
      </c>
      <c r="F190" t="s">
        <v>19</v>
      </c>
    </row>
    <row r="191" spans="1:6">
      <c r="A191" t="s">
        <v>15</v>
      </c>
      <c r="B191" t="s">
        <v>152</v>
      </c>
      <c r="C191" s="7">
        <v>2632</v>
      </c>
      <c r="D191" s="3">
        <v>44896</v>
      </c>
      <c r="E191" s="21">
        <v>25000</v>
      </c>
      <c r="F191" t="s">
        <v>19</v>
      </c>
    </row>
    <row r="192" spans="1:6">
      <c r="A192" t="s">
        <v>15</v>
      </c>
      <c r="B192" t="s">
        <v>152</v>
      </c>
      <c r="C192" s="7" t="s">
        <v>1105</v>
      </c>
      <c r="D192" s="3">
        <v>41363</v>
      </c>
      <c r="E192" s="21">
        <v>625121.05000000005</v>
      </c>
      <c r="F192" t="s">
        <v>19</v>
      </c>
    </row>
    <row r="193" spans="1:3" hidden="1">
      <c r="A193" t="s">
        <v>15</v>
      </c>
      <c r="B193" t="s">
        <v>153</v>
      </c>
      <c r="C193" s="7"/>
    </row>
    <row r="194" spans="1:3" hidden="1">
      <c r="A194" t="s">
        <v>15</v>
      </c>
      <c r="B194" t="s">
        <v>154</v>
      </c>
      <c r="C194" s="7"/>
    </row>
    <row r="195" spans="1:3" hidden="1">
      <c r="A195" t="s">
        <v>15</v>
      </c>
      <c r="B195" t="s">
        <v>155</v>
      </c>
      <c r="C195" s="7"/>
    </row>
    <row r="196" spans="1:3" hidden="1">
      <c r="A196" t="s">
        <v>15</v>
      </c>
      <c r="B196" t="s">
        <v>156</v>
      </c>
      <c r="C196" s="7"/>
    </row>
    <row r="197" spans="1:3" hidden="1">
      <c r="A197" t="s">
        <v>15</v>
      </c>
      <c r="B197" t="s">
        <v>157</v>
      </c>
      <c r="C197" s="7"/>
    </row>
    <row r="198" spans="1:3" hidden="1">
      <c r="A198" t="s">
        <v>15</v>
      </c>
      <c r="B198" t="s">
        <v>158</v>
      </c>
      <c r="C198" s="7"/>
    </row>
    <row r="199" spans="1:3" hidden="1">
      <c r="A199" t="s">
        <v>15</v>
      </c>
      <c r="B199" t="s">
        <v>159</v>
      </c>
      <c r="C199" s="7"/>
    </row>
    <row r="200" spans="1:3" hidden="1">
      <c r="A200" t="s">
        <v>15</v>
      </c>
      <c r="B200" t="s">
        <v>160</v>
      </c>
      <c r="C200" s="7"/>
    </row>
    <row r="201" spans="1:3" hidden="1">
      <c r="A201" t="s">
        <v>15</v>
      </c>
      <c r="B201" t="s">
        <v>161</v>
      </c>
      <c r="C201" s="7"/>
    </row>
    <row r="202" spans="1:3" hidden="1">
      <c r="A202" t="s">
        <v>15</v>
      </c>
      <c r="B202" t="s">
        <v>162</v>
      </c>
      <c r="C202" s="7"/>
    </row>
    <row r="203" spans="1:3" hidden="1">
      <c r="A203" t="s">
        <v>15</v>
      </c>
      <c r="B203" t="s">
        <v>163</v>
      </c>
      <c r="C203" s="7"/>
    </row>
    <row r="204" spans="1:3" hidden="1">
      <c r="A204" t="s">
        <v>15</v>
      </c>
      <c r="B204" t="s">
        <v>164</v>
      </c>
      <c r="C204" s="7"/>
    </row>
    <row r="205" spans="1:3" hidden="1">
      <c r="A205" t="s">
        <v>15</v>
      </c>
      <c r="B205" t="s">
        <v>165</v>
      </c>
      <c r="C205" s="7"/>
    </row>
    <row r="206" spans="1:3" hidden="1">
      <c r="A206" t="s">
        <v>15</v>
      </c>
      <c r="B206" t="s">
        <v>166</v>
      </c>
      <c r="C206" s="7"/>
    </row>
    <row r="207" spans="1:3" hidden="1">
      <c r="A207" t="s">
        <v>15</v>
      </c>
      <c r="B207" t="s">
        <v>167</v>
      </c>
      <c r="C207" s="7"/>
    </row>
    <row r="208" spans="1:3" hidden="1">
      <c r="A208" t="s">
        <v>15</v>
      </c>
      <c r="B208" t="s">
        <v>168</v>
      </c>
      <c r="C208" s="7"/>
    </row>
    <row r="209" spans="1:6">
      <c r="A209" t="s">
        <v>15</v>
      </c>
      <c r="B209" t="s">
        <v>169</v>
      </c>
      <c r="C209" s="7">
        <v>1</v>
      </c>
      <c r="D209" s="3">
        <v>45747</v>
      </c>
      <c r="E209" s="21">
        <v>34798.19</v>
      </c>
      <c r="F209" t="s">
        <v>19</v>
      </c>
    </row>
    <row r="210" spans="1:6" hidden="1">
      <c r="A210" t="s">
        <v>15</v>
      </c>
      <c r="B210" t="s">
        <v>170</v>
      </c>
      <c r="C210" s="7"/>
    </row>
    <row r="211" spans="1:6">
      <c r="A211" t="s">
        <v>15</v>
      </c>
      <c r="B211" t="s">
        <v>171</v>
      </c>
      <c r="C211" s="7" t="s">
        <v>1106</v>
      </c>
      <c r="D211" s="3">
        <v>45383</v>
      </c>
      <c r="E211" s="21">
        <v>37765</v>
      </c>
      <c r="F211" t="s">
        <v>19</v>
      </c>
    </row>
    <row r="212" spans="1:6" hidden="1">
      <c r="A212" t="s">
        <v>15</v>
      </c>
      <c r="B212" t="s">
        <v>172</v>
      </c>
      <c r="C212" s="7"/>
    </row>
    <row r="213" spans="1:6" hidden="1">
      <c r="A213" t="s">
        <v>15</v>
      </c>
      <c r="B213" t="s">
        <v>173</v>
      </c>
      <c r="C213" s="7"/>
    </row>
    <row r="214" spans="1:6" hidden="1">
      <c r="A214" t="s">
        <v>15</v>
      </c>
      <c r="B214" t="s">
        <v>174</v>
      </c>
      <c r="C214" s="7"/>
    </row>
    <row r="215" spans="1:6" hidden="1">
      <c r="A215" t="s">
        <v>15</v>
      </c>
      <c r="B215" t="s">
        <v>175</v>
      </c>
      <c r="C215" s="7"/>
    </row>
    <row r="216" spans="1:6" hidden="1">
      <c r="A216" t="s">
        <v>15</v>
      </c>
      <c r="B216" t="s">
        <v>176</v>
      </c>
      <c r="C216" s="7"/>
    </row>
    <row r="217" spans="1:6">
      <c r="A217" t="s">
        <v>15</v>
      </c>
      <c r="B217" t="s">
        <v>177</v>
      </c>
      <c r="C217" s="7" t="s">
        <v>1107</v>
      </c>
      <c r="D217" s="3">
        <v>44133</v>
      </c>
      <c r="E217" s="21">
        <v>71704</v>
      </c>
      <c r="F217" t="s">
        <v>19</v>
      </c>
    </row>
    <row r="218" spans="1:6">
      <c r="A218" t="s">
        <v>15</v>
      </c>
      <c r="B218" t="s">
        <v>177</v>
      </c>
      <c r="C218" s="7" t="s">
        <v>1108</v>
      </c>
      <c r="D218" s="3">
        <v>44291</v>
      </c>
      <c r="E218" s="21">
        <v>8363.23</v>
      </c>
      <c r="F218" t="s">
        <v>19</v>
      </c>
    </row>
    <row r="219" spans="1:6">
      <c r="A219" t="s">
        <v>15</v>
      </c>
      <c r="B219" t="s">
        <v>177</v>
      </c>
      <c r="C219" s="7" t="s">
        <v>1109</v>
      </c>
      <c r="D219" s="3">
        <v>44446</v>
      </c>
      <c r="E219" s="21">
        <v>4093</v>
      </c>
      <c r="F219" t="s">
        <v>19</v>
      </c>
    </row>
    <row r="220" spans="1:6">
      <c r="A220" t="s">
        <v>15</v>
      </c>
      <c r="B220" t="s">
        <v>177</v>
      </c>
      <c r="C220" s="7" t="s">
        <v>1110</v>
      </c>
      <c r="D220" s="3">
        <v>45016</v>
      </c>
      <c r="E220" s="21">
        <v>6459</v>
      </c>
      <c r="F220" t="s">
        <v>19</v>
      </c>
    </row>
    <row r="221" spans="1:6">
      <c r="A221" t="s">
        <v>15</v>
      </c>
      <c r="B221" t="s">
        <v>178</v>
      </c>
      <c r="C221" s="7" t="s">
        <v>1111</v>
      </c>
      <c r="D221" s="3">
        <v>44140</v>
      </c>
      <c r="E221" s="21">
        <v>40020</v>
      </c>
      <c r="F221" t="s">
        <v>19</v>
      </c>
    </row>
    <row r="222" spans="1:6" hidden="1">
      <c r="A222" t="s">
        <v>15</v>
      </c>
      <c r="B222" t="s">
        <v>179</v>
      </c>
      <c r="C222" s="7"/>
    </row>
    <row r="223" spans="1:6" hidden="1">
      <c r="A223" t="s">
        <v>15</v>
      </c>
      <c r="B223" t="s">
        <v>180</v>
      </c>
      <c r="C223" s="7"/>
    </row>
    <row r="224" spans="1:6">
      <c r="A224" t="s">
        <v>15</v>
      </c>
      <c r="B224" t="s">
        <v>181</v>
      </c>
      <c r="C224" s="7" t="s">
        <v>1112</v>
      </c>
      <c r="D224" s="3">
        <v>44882</v>
      </c>
      <c r="E224" s="21">
        <v>19796</v>
      </c>
      <c r="F224" t="s">
        <v>19</v>
      </c>
    </row>
    <row r="225" spans="1:6">
      <c r="A225" t="s">
        <v>15</v>
      </c>
      <c r="B225" t="s">
        <v>181</v>
      </c>
      <c r="C225" s="7" t="s">
        <v>1113</v>
      </c>
      <c r="D225" s="3">
        <v>44896</v>
      </c>
      <c r="E225" s="21">
        <v>30378</v>
      </c>
      <c r="F225" t="s">
        <v>19</v>
      </c>
    </row>
    <row r="226" spans="1:6">
      <c r="A226" t="s">
        <v>15</v>
      </c>
      <c r="B226" t="s">
        <v>181</v>
      </c>
      <c r="C226" s="7" t="s">
        <v>1114</v>
      </c>
      <c r="D226" s="3">
        <v>44896</v>
      </c>
      <c r="E226" s="21">
        <v>19565</v>
      </c>
      <c r="F226" t="s">
        <v>19</v>
      </c>
    </row>
    <row r="227" spans="1:6">
      <c r="A227" t="s">
        <v>15</v>
      </c>
      <c r="B227" t="s">
        <v>181</v>
      </c>
      <c r="C227" s="7" t="s">
        <v>1115</v>
      </c>
      <c r="D227" s="3">
        <v>44896</v>
      </c>
      <c r="E227" s="21">
        <v>12450</v>
      </c>
      <c r="F227" t="s">
        <v>19</v>
      </c>
    </row>
    <row r="228" spans="1:6">
      <c r="A228" t="s">
        <v>15</v>
      </c>
      <c r="B228" t="s">
        <v>181</v>
      </c>
      <c r="C228" s="7" t="s">
        <v>1116</v>
      </c>
      <c r="D228" s="3">
        <v>44896</v>
      </c>
      <c r="E228" s="21">
        <v>8179</v>
      </c>
      <c r="F228" t="s">
        <v>19</v>
      </c>
    </row>
    <row r="229" spans="1:6">
      <c r="A229" t="s">
        <v>15</v>
      </c>
      <c r="B229" t="s">
        <v>181</v>
      </c>
      <c r="C229" s="7" t="s">
        <v>1117</v>
      </c>
      <c r="D229" s="3">
        <v>44896</v>
      </c>
      <c r="E229" s="21">
        <v>75475</v>
      </c>
      <c r="F229" t="s">
        <v>19</v>
      </c>
    </row>
    <row r="230" spans="1:6">
      <c r="A230" t="s">
        <v>15</v>
      </c>
      <c r="B230" t="s">
        <v>181</v>
      </c>
      <c r="C230" s="7" t="s">
        <v>1118</v>
      </c>
      <c r="D230" s="3">
        <v>44896</v>
      </c>
      <c r="E230" s="21">
        <v>6440</v>
      </c>
      <c r="F230" t="s">
        <v>19</v>
      </c>
    </row>
    <row r="231" spans="1:6">
      <c r="A231" t="s">
        <v>15</v>
      </c>
      <c r="B231" t="s">
        <v>181</v>
      </c>
      <c r="C231" s="7" t="s">
        <v>1119</v>
      </c>
      <c r="D231" s="3">
        <v>44914</v>
      </c>
      <c r="E231" s="21">
        <v>41626</v>
      </c>
      <c r="F231" t="s">
        <v>19</v>
      </c>
    </row>
    <row r="232" spans="1:6">
      <c r="A232" t="s">
        <v>15</v>
      </c>
      <c r="B232" t="s">
        <v>181</v>
      </c>
      <c r="C232" s="7" t="s">
        <v>1120</v>
      </c>
      <c r="D232" s="3">
        <v>45382</v>
      </c>
      <c r="E232" s="21">
        <v>20715</v>
      </c>
      <c r="F232" t="s">
        <v>19</v>
      </c>
    </row>
    <row r="233" spans="1:6">
      <c r="A233" t="s">
        <v>15</v>
      </c>
      <c r="B233" t="s">
        <v>181</v>
      </c>
      <c r="C233" s="7" t="s">
        <v>1121</v>
      </c>
      <c r="D233" s="3">
        <v>45337</v>
      </c>
      <c r="E233" s="21">
        <v>195000</v>
      </c>
      <c r="F233" t="s">
        <v>19</v>
      </c>
    </row>
    <row r="234" spans="1:6">
      <c r="A234" t="s">
        <v>15</v>
      </c>
      <c r="B234" t="s">
        <v>181</v>
      </c>
      <c r="C234" s="7" t="s">
        <v>1122</v>
      </c>
      <c r="D234" s="3">
        <v>45594</v>
      </c>
      <c r="E234" s="21">
        <v>42375</v>
      </c>
      <c r="F234" t="s">
        <v>19</v>
      </c>
    </row>
    <row r="235" spans="1:6">
      <c r="A235" t="s">
        <v>15</v>
      </c>
      <c r="B235" t="s">
        <v>182</v>
      </c>
      <c r="C235" s="7" t="s">
        <v>1123</v>
      </c>
      <c r="D235" s="3">
        <v>45275</v>
      </c>
      <c r="E235" s="21">
        <v>513811.95</v>
      </c>
      <c r="F235" t="s">
        <v>19</v>
      </c>
    </row>
    <row r="236" spans="1:6">
      <c r="A236" t="s">
        <v>15</v>
      </c>
      <c r="B236" t="s">
        <v>182</v>
      </c>
      <c r="C236" s="7" t="s">
        <v>1124</v>
      </c>
      <c r="D236" s="3">
        <v>45328</v>
      </c>
      <c r="E236" s="21">
        <v>18067.740000000002</v>
      </c>
      <c r="F236" t="s">
        <v>19</v>
      </c>
    </row>
    <row r="237" spans="1:6">
      <c r="A237" t="s">
        <v>15</v>
      </c>
      <c r="B237" t="s">
        <v>182</v>
      </c>
      <c r="C237" s="7" t="s">
        <v>1125</v>
      </c>
      <c r="D237" s="3">
        <v>45328</v>
      </c>
      <c r="E237" s="21">
        <v>26312</v>
      </c>
      <c r="F237" t="s">
        <v>19</v>
      </c>
    </row>
    <row r="238" spans="1:6">
      <c r="A238" t="s">
        <v>15</v>
      </c>
      <c r="B238" t="s">
        <v>182</v>
      </c>
      <c r="C238" s="7" t="s">
        <v>1126</v>
      </c>
      <c r="D238" s="3">
        <v>45448</v>
      </c>
      <c r="E238" s="21">
        <v>63000</v>
      </c>
      <c r="F238" t="s">
        <v>19</v>
      </c>
    </row>
    <row r="239" spans="1:6">
      <c r="A239" t="s">
        <v>15</v>
      </c>
      <c r="B239" t="s">
        <v>182</v>
      </c>
      <c r="C239" s="7" t="s">
        <v>1127</v>
      </c>
      <c r="D239" s="3">
        <v>45448</v>
      </c>
      <c r="E239" s="21">
        <v>42000</v>
      </c>
      <c r="F239" t="s">
        <v>19</v>
      </c>
    </row>
    <row r="240" spans="1:6">
      <c r="A240" t="s">
        <v>15</v>
      </c>
      <c r="B240" t="s">
        <v>182</v>
      </c>
      <c r="C240" s="7" t="s">
        <v>1128</v>
      </c>
      <c r="D240" s="3">
        <v>45448</v>
      </c>
      <c r="E240" s="21">
        <v>29025</v>
      </c>
      <c r="F240" t="s">
        <v>19</v>
      </c>
    </row>
    <row r="241" spans="1:6">
      <c r="A241" t="s">
        <v>15</v>
      </c>
      <c r="B241" t="s">
        <v>182</v>
      </c>
      <c r="C241" s="7" t="s">
        <v>1129</v>
      </c>
      <c r="D241" s="3">
        <v>45448</v>
      </c>
      <c r="E241" s="21">
        <v>58500</v>
      </c>
      <c r="F241" t="s">
        <v>19</v>
      </c>
    </row>
    <row r="242" spans="1:6">
      <c r="A242" t="s">
        <v>15</v>
      </c>
      <c r="B242" t="s">
        <v>182</v>
      </c>
      <c r="C242" s="7" t="s">
        <v>1130</v>
      </c>
      <c r="D242" s="3">
        <v>45449</v>
      </c>
      <c r="E242" s="21">
        <v>37650</v>
      </c>
      <c r="F242" t="s">
        <v>19</v>
      </c>
    </row>
    <row r="243" spans="1:6">
      <c r="A243" t="s">
        <v>15</v>
      </c>
      <c r="B243" t="s">
        <v>182</v>
      </c>
      <c r="C243" s="7" t="s">
        <v>1131</v>
      </c>
      <c r="D243" s="3">
        <v>45542</v>
      </c>
      <c r="E243" s="21">
        <v>79296</v>
      </c>
      <c r="F243" t="s">
        <v>19</v>
      </c>
    </row>
    <row r="244" spans="1:6">
      <c r="A244" t="s">
        <v>15</v>
      </c>
      <c r="B244" t="s">
        <v>182</v>
      </c>
      <c r="C244" s="7" t="s">
        <v>1132</v>
      </c>
      <c r="D244" s="3">
        <v>45734</v>
      </c>
      <c r="E244" s="21">
        <v>354</v>
      </c>
      <c r="F244" t="s">
        <v>19</v>
      </c>
    </row>
    <row r="245" spans="1:6">
      <c r="A245" t="s">
        <v>15</v>
      </c>
      <c r="B245" t="s">
        <v>183</v>
      </c>
      <c r="C245" s="7" t="s">
        <v>1133</v>
      </c>
      <c r="D245" s="3">
        <v>45289</v>
      </c>
      <c r="E245" s="21">
        <v>408399</v>
      </c>
      <c r="F245" t="s">
        <v>19</v>
      </c>
    </row>
    <row r="246" spans="1:6">
      <c r="A246" t="s">
        <v>15</v>
      </c>
      <c r="B246" t="s">
        <v>183</v>
      </c>
      <c r="C246" s="7" t="s">
        <v>1134</v>
      </c>
      <c r="D246" s="3">
        <v>45336</v>
      </c>
      <c r="E246" s="21">
        <v>251940</v>
      </c>
      <c r="F246" t="s">
        <v>19</v>
      </c>
    </row>
    <row r="247" spans="1:6">
      <c r="A247" t="s">
        <v>15</v>
      </c>
      <c r="B247" t="s">
        <v>183</v>
      </c>
      <c r="C247" s="7" t="s">
        <v>1135</v>
      </c>
      <c r="D247" s="3">
        <v>45343</v>
      </c>
      <c r="E247" s="21">
        <v>53345.21</v>
      </c>
      <c r="F247" t="s">
        <v>19</v>
      </c>
    </row>
    <row r="248" spans="1:6">
      <c r="A248" t="s">
        <v>15</v>
      </c>
      <c r="B248" t="s">
        <v>183</v>
      </c>
      <c r="C248" s="7" t="s">
        <v>1136</v>
      </c>
      <c r="D248" s="3">
        <v>45377</v>
      </c>
      <c r="E248" s="21">
        <v>16587.8</v>
      </c>
      <c r="F248" t="s">
        <v>19</v>
      </c>
    </row>
    <row r="249" spans="1:6">
      <c r="A249" t="s">
        <v>15</v>
      </c>
      <c r="B249" t="s">
        <v>183</v>
      </c>
      <c r="C249" s="7" t="s">
        <v>1137</v>
      </c>
      <c r="D249" s="3">
        <v>45449</v>
      </c>
      <c r="E249" s="21">
        <v>26383</v>
      </c>
      <c r="F249" t="s">
        <v>19</v>
      </c>
    </row>
    <row r="250" spans="1:6">
      <c r="A250" t="s">
        <v>15</v>
      </c>
      <c r="B250" t="s">
        <v>183</v>
      </c>
      <c r="C250" s="7" t="s">
        <v>1138</v>
      </c>
      <c r="D250" s="3">
        <v>45595</v>
      </c>
      <c r="E250" s="21">
        <v>63836</v>
      </c>
      <c r="F250" t="s">
        <v>19</v>
      </c>
    </row>
    <row r="251" spans="1:6">
      <c r="A251" t="s">
        <v>15</v>
      </c>
      <c r="B251" t="s">
        <v>183</v>
      </c>
      <c r="C251" s="7" t="s">
        <v>1139</v>
      </c>
      <c r="D251" s="3">
        <v>45595</v>
      </c>
      <c r="E251" s="21">
        <v>88645</v>
      </c>
      <c r="F251" t="s">
        <v>19</v>
      </c>
    </row>
    <row r="252" spans="1:6">
      <c r="A252" t="s">
        <v>15</v>
      </c>
      <c r="B252" t="s">
        <v>183</v>
      </c>
      <c r="C252" s="7" t="s">
        <v>1140</v>
      </c>
      <c r="D252" s="3">
        <v>45595</v>
      </c>
      <c r="E252" s="21">
        <v>36206</v>
      </c>
      <c r="F252" t="s">
        <v>19</v>
      </c>
    </row>
    <row r="253" spans="1:6">
      <c r="A253" t="s">
        <v>15</v>
      </c>
      <c r="B253" t="s">
        <v>183</v>
      </c>
      <c r="C253" s="7" t="s">
        <v>1141</v>
      </c>
      <c r="D253" s="3">
        <v>45629</v>
      </c>
      <c r="E253" s="21">
        <v>8550</v>
      </c>
      <c r="F253" t="s">
        <v>19</v>
      </c>
    </row>
    <row r="254" spans="1:6">
      <c r="A254" t="s">
        <v>15</v>
      </c>
      <c r="B254" t="s">
        <v>184</v>
      </c>
      <c r="C254" s="7" t="s">
        <v>1142</v>
      </c>
      <c r="D254" s="3">
        <v>44166</v>
      </c>
      <c r="E254" s="21">
        <v>132787.94</v>
      </c>
      <c r="F254" t="s">
        <v>19</v>
      </c>
    </row>
    <row r="255" spans="1:6">
      <c r="A255" t="s">
        <v>15</v>
      </c>
      <c r="B255" t="s">
        <v>184</v>
      </c>
      <c r="C255" s="7" t="s">
        <v>1143</v>
      </c>
      <c r="D255" s="3">
        <v>44286</v>
      </c>
      <c r="E255" s="21">
        <v>16627.419999999998</v>
      </c>
      <c r="F255" t="s">
        <v>19</v>
      </c>
    </row>
    <row r="256" spans="1:6">
      <c r="A256" t="s">
        <v>15</v>
      </c>
      <c r="B256" t="s">
        <v>185</v>
      </c>
      <c r="C256" s="7" t="s">
        <v>1144</v>
      </c>
      <c r="D256" s="3">
        <v>44791</v>
      </c>
      <c r="E256" s="21">
        <v>31595</v>
      </c>
      <c r="F256" t="s">
        <v>19</v>
      </c>
    </row>
    <row r="257" spans="1:6">
      <c r="A257" t="s">
        <v>15</v>
      </c>
      <c r="B257" t="s">
        <v>185</v>
      </c>
      <c r="C257" s="7" t="s">
        <v>1145</v>
      </c>
      <c r="D257" s="3">
        <v>44818</v>
      </c>
      <c r="E257" s="21">
        <v>20250</v>
      </c>
      <c r="F257" t="s">
        <v>19</v>
      </c>
    </row>
    <row r="258" spans="1:6">
      <c r="A258" t="s">
        <v>15</v>
      </c>
      <c r="B258" t="s">
        <v>185</v>
      </c>
      <c r="C258" s="7" t="s">
        <v>1146</v>
      </c>
      <c r="D258" s="3">
        <v>44818</v>
      </c>
      <c r="E258" s="21">
        <v>80400</v>
      </c>
      <c r="F258" t="s">
        <v>19</v>
      </c>
    </row>
    <row r="259" spans="1:6">
      <c r="A259" t="s">
        <v>15</v>
      </c>
      <c r="B259" t="s">
        <v>185</v>
      </c>
      <c r="C259" s="7">
        <v>738</v>
      </c>
      <c r="D259" s="3">
        <v>44818</v>
      </c>
      <c r="E259" s="21">
        <v>10675</v>
      </c>
      <c r="F259" t="s">
        <v>19</v>
      </c>
    </row>
    <row r="260" spans="1:6">
      <c r="A260" t="s">
        <v>15</v>
      </c>
      <c r="B260" t="s">
        <v>185</v>
      </c>
      <c r="C260" s="7" t="s">
        <v>1147</v>
      </c>
      <c r="D260" s="3">
        <v>44818</v>
      </c>
      <c r="E260" s="21">
        <v>7360</v>
      </c>
      <c r="F260" t="s">
        <v>19</v>
      </c>
    </row>
    <row r="261" spans="1:6">
      <c r="A261" t="s">
        <v>15</v>
      </c>
      <c r="B261" t="s">
        <v>185</v>
      </c>
      <c r="C261" s="7" t="s">
        <v>1148</v>
      </c>
      <c r="D261" s="3">
        <v>44998</v>
      </c>
      <c r="E261" s="21">
        <v>28250</v>
      </c>
      <c r="F261" t="s">
        <v>19</v>
      </c>
    </row>
    <row r="262" spans="1:6">
      <c r="A262" t="s">
        <v>15</v>
      </c>
      <c r="B262" t="s">
        <v>185</v>
      </c>
      <c r="C262" s="7" t="s">
        <v>1149</v>
      </c>
      <c r="D262" s="3">
        <v>45016</v>
      </c>
      <c r="E262" s="21">
        <v>44880</v>
      </c>
      <c r="F262" t="s">
        <v>19</v>
      </c>
    </row>
    <row r="263" spans="1:6">
      <c r="A263" t="s">
        <v>15</v>
      </c>
      <c r="B263" t="s">
        <v>185</v>
      </c>
      <c r="C263" s="7" t="s">
        <v>1150</v>
      </c>
      <c r="D263" s="3">
        <v>45016</v>
      </c>
      <c r="E263" s="21">
        <v>21973</v>
      </c>
      <c r="F263" t="s">
        <v>19</v>
      </c>
    </row>
    <row r="264" spans="1:6">
      <c r="A264" t="s">
        <v>15</v>
      </c>
      <c r="B264" t="s">
        <v>185</v>
      </c>
      <c r="C264" s="7" t="s">
        <v>1151</v>
      </c>
      <c r="D264" s="3">
        <v>45016</v>
      </c>
      <c r="E264" s="21">
        <v>18675</v>
      </c>
      <c r="F264" t="s">
        <v>19</v>
      </c>
    </row>
    <row r="265" spans="1:6">
      <c r="A265" t="s">
        <v>15</v>
      </c>
      <c r="B265" t="s">
        <v>185</v>
      </c>
      <c r="C265" s="7" t="s">
        <v>1152</v>
      </c>
      <c r="D265" s="3">
        <v>45016</v>
      </c>
      <c r="E265" s="21">
        <v>52155</v>
      </c>
      <c r="F265" t="s">
        <v>19</v>
      </c>
    </row>
    <row r="266" spans="1:6">
      <c r="A266" t="s">
        <v>15</v>
      </c>
      <c r="B266" t="s">
        <v>185</v>
      </c>
      <c r="C266" s="7" t="s">
        <v>1153</v>
      </c>
      <c r="D266" s="3">
        <v>45306</v>
      </c>
      <c r="E266" s="21">
        <v>207500</v>
      </c>
      <c r="F266" t="s">
        <v>19</v>
      </c>
    </row>
    <row r="267" spans="1:6">
      <c r="A267" t="s">
        <v>15</v>
      </c>
      <c r="B267" t="s">
        <v>185</v>
      </c>
      <c r="C267" s="7" t="s">
        <v>1148</v>
      </c>
      <c r="D267" s="3">
        <v>45594</v>
      </c>
      <c r="E267" s="21">
        <v>16668</v>
      </c>
      <c r="F267" t="s">
        <v>19</v>
      </c>
    </row>
    <row r="268" spans="1:6">
      <c r="A268" t="s">
        <v>15</v>
      </c>
      <c r="B268" t="s">
        <v>186</v>
      </c>
      <c r="C268" s="7" t="s">
        <v>1154</v>
      </c>
      <c r="D268" s="3">
        <v>44887</v>
      </c>
      <c r="E268" s="21">
        <v>12450</v>
      </c>
      <c r="F268" t="s">
        <v>19</v>
      </c>
    </row>
    <row r="269" spans="1:6">
      <c r="A269" t="s">
        <v>15</v>
      </c>
      <c r="B269" t="s">
        <v>186</v>
      </c>
      <c r="C269" s="7" t="s">
        <v>1155</v>
      </c>
      <c r="D269" s="3">
        <v>44893</v>
      </c>
      <c r="E269" s="21">
        <v>24840</v>
      </c>
      <c r="F269" t="s">
        <v>19</v>
      </c>
    </row>
    <row r="270" spans="1:6">
      <c r="A270" t="s">
        <v>15</v>
      </c>
      <c r="B270" t="s">
        <v>186</v>
      </c>
      <c r="C270" s="7" t="s">
        <v>1156</v>
      </c>
      <c r="D270" s="3">
        <v>44980</v>
      </c>
      <c r="E270" s="21">
        <v>42375</v>
      </c>
      <c r="F270" t="s">
        <v>19</v>
      </c>
    </row>
    <row r="271" spans="1:6">
      <c r="A271" t="s">
        <v>15</v>
      </c>
      <c r="B271" t="s">
        <v>186</v>
      </c>
      <c r="C271" s="7" t="s">
        <v>1157</v>
      </c>
      <c r="D271" s="3">
        <v>45016</v>
      </c>
      <c r="E271" s="21">
        <v>19320</v>
      </c>
      <c r="F271" t="s">
        <v>19</v>
      </c>
    </row>
    <row r="272" spans="1:6">
      <c r="A272" t="s">
        <v>15</v>
      </c>
      <c r="B272" t="s">
        <v>186</v>
      </c>
      <c r="C272" s="7" t="s">
        <v>1158</v>
      </c>
      <c r="D272" s="3">
        <v>45016</v>
      </c>
      <c r="E272" s="21">
        <v>144425</v>
      </c>
      <c r="F272" t="s">
        <v>19</v>
      </c>
    </row>
    <row r="273" spans="1:6">
      <c r="A273" t="s">
        <v>15</v>
      </c>
      <c r="B273" t="s">
        <v>186</v>
      </c>
      <c r="C273" s="7" t="s">
        <v>1159</v>
      </c>
      <c r="D273" s="3">
        <v>45016</v>
      </c>
      <c r="E273" s="21">
        <v>12450</v>
      </c>
      <c r="F273" t="s">
        <v>19</v>
      </c>
    </row>
    <row r="274" spans="1:6">
      <c r="A274" t="s">
        <v>15</v>
      </c>
      <c r="B274" t="s">
        <v>186</v>
      </c>
      <c r="C274" s="7" t="s">
        <v>1160</v>
      </c>
      <c r="D274" s="3">
        <v>45016</v>
      </c>
      <c r="E274" s="21">
        <v>58695</v>
      </c>
      <c r="F274" t="s">
        <v>19</v>
      </c>
    </row>
    <row r="275" spans="1:6">
      <c r="A275" t="s">
        <v>15</v>
      </c>
      <c r="B275" t="s">
        <v>186</v>
      </c>
      <c r="C275" s="7" t="s">
        <v>1161</v>
      </c>
      <c r="D275" s="3">
        <v>45016</v>
      </c>
      <c r="E275" s="21">
        <v>62244</v>
      </c>
      <c r="F275" t="s">
        <v>19</v>
      </c>
    </row>
    <row r="276" spans="1:6">
      <c r="A276" t="s">
        <v>15</v>
      </c>
      <c r="B276" t="s">
        <v>186</v>
      </c>
      <c r="C276" s="7" t="s">
        <v>1162</v>
      </c>
      <c r="D276" s="3">
        <v>45016</v>
      </c>
      <c r="E276" s="21">
        <v>16758</v>
      </c>
      <c r="F276" t="s">
        <v>19</v>
      </c>
    </row>
    <row r="277" spans="1:6">
      <c r="A277" t="s">
        <v>15</v>
      </c>
      <c r="B277" t="s">
        <v>186</v>
      </c>
      <c r="C277" s="7" t="s">
        <v>1163</v>
      </c>
      <c r="D277" s="3">
        <v>45016</v>
      </c>
      <c r="E277" s="21">
        <v>117810</v>
      </c>
      <c r="F277" t="s">
        <v>19</v>
      </c>
    </row>
    <row r="278" spans="1:6">
      <c r="A278" t="s">
        <v>15</v>
      </c>
      <c r="B278" t="s">
        <v>186</v>
      </c>
      <c r="C278" s="7" t="s">
        <v>1164</v>
      </c>
      <c r="D278" s="3">
        <v>45558</v>
      </c>
      <c r="E278" s="21">
        <v>506100</v>
      </c>
      <c r="F278" t="s">
        <v>19</v>
      </c>
    </row>
    <row r="279" spans="1:6" hidden="1">
      <c r="A279" t="s">
        <v>15</v>
      </c>
      <c r="B279" t="s">
        <v>187</v>
      </c>
      <c r="C279" s="7"/>
    </row>
    <row r="280" spans="1:6">
      <c r="A280" t="s">
        <v>15</v>
      </c>
      <c r="B280" t="s">
        <v>188</v>
      </c>
      <c r="C280" s="7" t="s">
        <v>1165</v>
      </c>
      <c r="D280" s="3">
        <v>44890</v>
      </c>
      <c r="E280" s="21">
        <v>12450</v>
      </c>
      <c r="F280" t="s">
        <v>19</v>
      </c>
    </row>
    <row r="281" spans="1:6">
      <c r="A281" t="s">
        <v>15</v>
      </c>
      <c r="B281" t="s">
        <v>188</v>
      </c>
      <c r="C281" s="7" t="s">
        <v>1166</v>
      </c>
      <c r="D281" s="3">
        <v>44893</v>
      </c>
      <c r="E281" s="21">
        <v>33660</v>
      </c>
      <c r="F281" t="s">
        <v>19</v>
      </c>
    </row>
    <row r="282" spans="1:6">
      <c r="A282" t="s">
        <v>15</v>
      </c>
      <c r="B282" t="s">
        <v>188</v>
      </c>
      <c r="C282" s="7" t="s">
        <v>1167</v>
      </c>
      <c r="D282" s="3">
        <v>44904</v>
      </c>
      <c r="E282" s="21">
        <v>15894</v>
      </c>
      <c r="F282" t="s">
        <v>19</v>
      </c>
    </row>
    <row r="283" spans="1:6">
      <c r="A283" t="s">
        <v>15</v>
      </c>
      <c r="B283" t="s">
        <v>188</v>
      </c>
      <c r="C283" s="7" t="s">
        <v>1168</v>
      </c>
      <c r="D283" s="3">
        <v>45016</v>
      </c>
      <c r="E283" s="21">
        <v>78173</v>
      </c>
      <c r="F283" t="s">
        <v>19</v>
      </c>
    </row>
    <row r="284" spans="1:6">
      <c r="A284" t="s">
        <v>15</v>
      </c>
      <c r="B284" t="s">
        <v>188</v>
      </c>
      <c r="C284" s="7" t="s">
        <v>1169</v>
      </c>
      <c r="D284" s="3">
        <v>45016</v>
      </c>
      <c r="E284" s="21">
        <v>11567</v>
      </c>
      <c r="F284" t="s">
        <v>19</v>
      </c>
    </row>
    <row r="285" spans="1:6">
      <c r="A285" t="s">
        <v>15</v>
      </c>
      <c r="B285" t="s">
        <v>188</v>
      </c>
      <c r="C285" s="7" t="s">
        <v>1170</v>
      </c>
      <c r="D285" s="3">
        <v>45016</v>
      </c>
      <c r="E285" s="21">
        <v>18326</v>
      </c>
      <c r="F285" t="s">
        <v>19</v>
      </c>
    </row>
    <row r="286" spans="1:6">
      <c r="A286" t="s">
        <v>15</v>
      </c>
      <c r="B286" t="s">
        <v>188</v>
      </c>
      <c r="C286" s="7" t="s">
        <v>1171</v>
      </c>
      <c r="D286" s="3">
        <v>45016</v>
      </c>
      <c r="E286" s="21">
        <v>40569</v>
      </c>
      <c r="F286" t="s">
        <v>19</v>
      </c>
    </row>
    <row r="287" spans="1:6">
      <c r="A287" t="s">
        <v>15</v>
      </c>
      <c r="B287" t="s">
        <v>188</v>
      </c>
      <c r="C287" s="7" t="s">
        <v>1172</v>
      </c>
      <c r="D287" s="3">
        <v>45016</v>
      </c>
      <c r="E287" s="21">
        <v>85325</v>
      </c>
      <c r="F287" t="s">
        <v>19</v>
      </c>
    </row>
    <row r="288" spans="1:6">
      <c r="A288" t="s">
        <v>15</v>
      </c>
      <c r="B288" t="s">
        <v>188</v>
      </c>
      <c r="C288" s="7" t="s">
        <v>1173</v>
      </c>
      <c r="D288" s="3">
        <v>45016</v>
      </c>
      <c r="E288" s="21">
        <v>8280</v>
      </c>
      <c r="F288" t="s">
        <v>19</v>
      </c>
    </row>
    <row r="289" spans="1:6">
      <c r="A289" t="s">
        <v>15</v>
      </c>
      <c r="B289" t="s">
        <v>188</v>
      </c>
      <c r="C289" s="7" t="s">
        <v>1174</v>
      </c>
      <c r="D289" s="3">
        <v>45072</v>
      </c>
      <c r="E289" s="21">
        <v>42375</v>
      </c>
      <c r="F289" t="s">
        <v>19</v>
      </c>
    </row>
    <row r="290" spans="1:6">
      <c r="A290" t="s">
        <v>15</v>
      </c>
      <c r="B290" t="s">
        <v>188</v>
      </c>
      <c r="C290" s="7" t="s">
        <v>1175</v>
      </c>
      <c r="D290" s="3">
        <v>45582</v>
      </c>
      <c r="E290" s="21">
        <v>187500</v>
      </c>
      <c r="F290" t="s">
        <v>19</v>
      </c>
    </row>
    <row r="291" spans="1:6">
      <c r="A291" t="s">
        <v>15</v>
      </c>
      <c r="B291" t="s">
        <v>188</v>
      </c>
      <c r="C291" s="7">
        <v>1634</v>
      </c>
      <c r="D291" s="3">
        <v>45594</v>
      </c>
      <c r="E291" s="21">
        <v>12539</v>
      </c>
      <c r="F291" t="s">
        <v>19</v>
      </c>
    </row>
    <row r="292" spans="1:6">
      <c r="A292" t="s">
        <v>15</v>
      </c>
      <c r="B292" t="s">
        <v>188</v>
      </c>
      <c r="C292" s="7">
        <v>1635</v>
      </c>
      <c r="D292" s="3">
        <v>45594</v>
      </c>
      <c r="E292" s="21">
        <v>19859</v>
      </c>
      <c r="F292" t="s">
        <v>19</v>
      </c>
    </row>
    <row r="293" spans="1:6">
      <c r="A293" t="s">
        <v>15</v>
      </c>
      <c r="B293" t="s">
        <v>188</v>
      </c>
      <c r="C293" s="7">
        <v>1636</v>
      </c>
      <c r="D293" s="3">
        <v>45594</v>
      </c>
      <c r="E293" s="21">
        <v>9377</v>
      </c>
      <c r="F293" t="s">
        <v>19</v>
      </c>
    </row>
    <row r="294" spans="1:6">
      <c r="A294" t="s">
        <v>15</v>
      </c>
      <c r="B294" t="s">
        <v>189</v>
      </c>
      <c r="C294" s="7" t="s">
        <v>1176</v>
      </c>
      <c r="D294" s="3">
        <v>44306</v>
      </c>
      <c r="E294" s="21">
        <v>7514.54</v>
      </c>
      <c r="F294" t="s">
        <v>19</v>
      </c>
    </row>
    <row r="295" spans="1:6">
      <c r="A295" t="s">
        <v>15</v>
      </c>
      <c r="B295" t="s">
        <v>190</v>
      </c>
      <c r="C295" s="11" t="s">
        <v>1177</v>
      </c>
      <c r="D295" s="3">
        <v>44890</v>
      </c>
      <c r="E295" s="21">
        <v>29920</v>
      </c>
      <c r="F295" t="s">
        <v>19</v>
      </c>
    </row>
    <row r="296" spans="1:6">
      <c r="A296" t="s">
        <v>15</v>
      </c>
      <c r="B296" t="s">
        <v>190</v>
      </c>
      <c r="C296" s="11" t="s">
        <v>1178</v>
      </c>
      <c r="D296" s="3">
        <v>44897</v>
      </c>
      <c r="E296" s="21">
        <v>14814</v>
      </c>
      <c r="F296" t="s">
        <v>19</v>
      </c>
    </row>
    <row r="297" spans="1:6">
      <c r="A297" t="s">
        <v>15</v>
      </c>
      <c r="B297" t="s">
        <v>190</v>
      </c>
      <c r="C297" s="11" t="s">
        <v>1179</v>
      </c>
      <c r="D297" s="3">
        <v>44985</v>
      </c>
      <c r="E297" s="21">
        <v>28250</v>
      </c>
      <c r="F297" t="s">
        <v>19</v>
      </c>
    </row>
    <row r="298" spans="1:6">
      <c r="A298" t="s">
        <v>15</v>
      </c>
      <c r="B298" t="s">
        <v>190</v>
      </c>
      <c r="C298" s="11" t="s">
        <v>1180</v>
      </c>
      <c r="D298" s="3">
        <v>45016</v>
      </c>
      <c r="E298" s="21">
        <v>80035</v>
      </c>
      <c r="F298" t="s">
        <v>19</v>
      </c>
    </row>
    <row r="299" spans="1:6">
      <c r="A299" t="s">
        <v>15</v>
      </c>
      <c r="B299" t="s">
        <v>190</v>
      </c>
      <c r="C299" s="11" t="s">
        <v>1181</v>
      </c>
      <c r="D299" s="3">
        <v>45016</v>
      </c>
      <c r="E299" s="21">
        <v>31108</v>
      </c>
      <c r="F299" t="s">
        <v>19</v>
      </c>
    </row>
    <row r="300" spans="1:6">
      <c r="A300" t="s">
        <v>15</v>
      </c>
      <c r="B300" t="s">
        <v>190</v>
      </c>
      <c r="C300" s="11" t="s">
        <v>1182</v>
      </c>
      <c r="D300" s="3">
        <v>45016</v>
      </c>
      <c r="E300" s="21">
        <v>14246</v>
      </c>
      <c r="F300" t="s">
        <v>19</v>
      </c>
    </row>
    <row r="301" spans="1:6">
      <c r="A301" t="s">
        <v>15</v>
      </c>
      <c r="B301" t="s">
        <v>190</v>
      </c>
      <c r="C301" s="11" t="s">
        <v>1183</v>
      </c>
      <c r="D301" s="3">
        <v>45016</v>
      </c>
      <c r="E301" s="21">
        <v>19796</v>
      </c>
      <c r="F301" t="s">
        <v>19</v>
      </c>
    </row>
    <row r="302" spans="1:6">
      <c r="A302" t="s">
        <v>15</v>
      </c>
      <c r="B302" t="s">
        <v>190</v>
      </c>
      <c r="C302" s="11" t="s">
        <v>1184</v>
      </c>
      <c r="D302" s="3">
        <v>45016</v>
      </c>
      <c r="E302" s="21">
        <v>52915</v>
      </c>
      <c r="F302" t="s">
        <v>19</v>
      </c>
    </row>
    <row r="303" spans="1:6">
      <c r="A303" t="s">
        <v>15</v>
      </c>
      <c r="B303" t="s">
        <v>190</v>
      </c>
      <c r="C303" s="11" t="s">
        <v>1185</v>
      </c>
      <c r="D303" s="3">
        <v>45016</v>
      </c>
      <c r="E303" s="21">
        <v>19796</v>
      </c>
      <c r="F303" t="s">
        <v>19</v>
      </c>
    </row>
    <row r="304" spans="1:6">
      <c r="A304" t="s">
        <v>15</v>
      </c>
      <c r="B304" t="s">
        <v>190</v>
      </c>
      <c r="C304" s="11" t="s">
        <v>1186</v>
      </c>
      <c r="D304" s="3">
        <v>45290</v>
      </c>
      <c r="E304" s="21">
        <v>194250</v>
      </c>
      <c r="F304" t="s">
        <v>19</v>
      </c>
    </row>
    <row r="305" spans="1:6">
      <c r="A305" t="s">
        <v>15</v>
      </c>
      <c r="B305" t="s">
        <v>190</v>
      </c>
      <c r="C305" s="11" t="s">
        <v>1187</v>
      </c>
      <c r="D305" s="3">
        <v>45442</v>
      </c>
      <c r="E305" s="21">
        <v>9660</v>
      </c>
      <c r="F305" t="s">
        <v>19</v>
      </c>
    </row>
    <row r="306" spans="1:6">
      <c r="A306" t="s">
        <v>15</v>
      </c>
      <c r="B306" t="s">
        <v>190</v>
      </c>
      <c r="C306" s="7">
        <v>1627</v>
      </c>
      <c r="D306" s="3">
        <v>45594</v>
      </c>
      <c r="E306" s="21">
        <v>24011</v>
      </c>
      <c r="F306" t="s">
        <v>19</v>
      </c>
    </row>
    <row r="307" spans="1:6">
      <c r="A307" t="s">
        <v>15</v>
      </c>
      <c r="B307" t="s">
        <v>190</v>
      </c>
      <c r="C307" s="7">
        <v>1628</v>
      </c>
      <c r="D307" s="3">
        <v>45594</v>
      </c>
      <c r="E307" s="21">
        <v>111369</v>
      </c>
      <c r="F307" t="s">
        <v>19</v>
      </c>
    </row>
    <row r="308" spans="1:6">
      <c r="A308" t="s">
        <v>15</v>
      </c>
      <c r="B308" t="s">
        <v>190</v>
      </c>
      <c r="C308" s="7">
        <v>1629</v>
      </c>
      <c r="D308" s="3">
        <v>45594</v>
      </c>
      <c r="E308" s="21">
        <v>8739.7999999999993</v>
      </c>
      <c r="F308" t="s">
        <v>19</v>
      </c>
    </row>
    <row r="309" spans="1:6">
      <c r="A309" t="s">
        <v>15</v>
      </c>
      <c r="B309" t="s">
        <v>190</v>
      </c>
      <c r="C309" s="7">
        <v>1630</v>
      </c>
      <c r="D309" s="3">
        <v>45594</v>
      </c>
      <c r="E309" s="21">
        <v>16668</v>
      </c>
      <c r="F309" t="s">
        <v>19</v>
      </c>
    </row>
    <row r="310" spans="1:6">
      <c r="A310" t="s">
        <v>15</v>
      </c>
      <c r="B310" t="s">
        <v>191</v>
      </c>
      <c r="C310" s="11" t="s">
        <v>1188</v>
      </c>
      <c r="D310" s="3">
        <v>44903</v>
      </c>
      <c r="E310" s="21">
        <v>14814</v>
      </c>
      <c r="F310" s="8" t="s">
        <v>19</v>
      </c>
    </row>
    <row r="311" spans="1:6">
      <c r="A311" t="s">
        <v>15</v>
      </c>
      <c r="B311" t="s">
        <v>191</v>
      </c>
      <c r="C311" s="11" t="s">
        <v>1189</v>
      </c>
      <c r="D311" s="3">
        <v>44984</v>
      </c>
      <c r="E311" s="21">
        <v>28250</v>
      </c>
      <c r="F311" s="8" t="s">
        <v>19</v>
      </c>
    </row>
    <row r="312" spans="1:6">
      <c r="A312" t="s">
        <v>15</v>
      </c>
      <c r="B312" t="s">
        <v>191</v>
      </c>
      <c r="C312" s="11" t="s">
        <v>1190</v>
      </c>
      <c r="D312" s="3">
        <v>45016</v>
      </c>
      <c r="E312" s="21">
        <v>47573</v>
      </c>
      <c r="F312" s="8" t="s">
        <v>19</v>
      </c>
    </row>
    <row r="313" spans="1:6">
      <c r="A313" t="s">
        <v>15</v>
      </c>
      <c r="B313" t="s">
        <v>191</v>
      </c>
      <c r="C313" s="11" t="s">
        <v>1191</v>
      </c>
      <c r="D313" s="3">
        <v>45016</v>
      </c>
      <c r="E313" s="21">
        <v>19796</v>
      </c>
      <c r="F313" s="8" t="s">
        <v>19</v>
      </c>
    </row>
    <row r="314" spans="1:6">
      <c r="A314" t="s">
        <v>15</v>
      </c>
      <c r="B314" t="s">
        <v>191</v>
      </c>
      <c r="C314" s="11" t="s">
        <v>1192</v>
      </c>
      <c r="D314" s="3">
        <v>45016</v>
      </c>
      <c r="E314" s="21">
        <v>27256</v>
      </c>
      <c r="F314" s="8" t="s">
        <v>19</v>
      </c>
    </row>
    <row r="315" spans="1:6">
      <c r="A315" t="s">
        <v>15</v>
      </c>
      <c r="B315" t="s">
        <v>191</v>
      </c>
      <c r="C315" s="11" t="s">
        <v>1193</v>
      </c>
      <c r="D315" s="3">
        <v>45016</v>
      </c>
      <c r="E315" s="21">
        <v>10768</v>
      </c>
      <c r="F315" s="8" t="s">
        <v>19</v>
      </c>
    </row>
    <row r="316" spans="1:6">
      <c r="A316" t="s">
        <v>15</v>
      </c>
      <c r="B316" t="s">
        <v>191</v>
      </c>
      <c r="C316" s="11" t="s">
        <v>1194</v>
      </c>
      <c r="D316" s="3">
        <v>45016</v>
      </c>
      <c r="E316" s="21">
        <v>18326</v>
      </c>
      <c r="F316" s="8" t="s">
        <v>19</v>
      </c>
    </row>
    <row r="317" spans="1:6">
      <c r="A317" t="s">
        <v>15</v>
      </c>
      <c r="B317" t="s">
        <v>191</v>
      </c>
      <c r="C317" s="11" t="s">
        <v>1195</v>
      </c>
      <c r="D317" s="3">
        <v>45016</v>
      </c>
      <c r="E317" s="21">
        <v>52915</v>
      </c>
      <c r="F317" s="8" t="s">
        <v>19</v>
      </c>
    </row>
    <row r="318" spans="1:6">
      <c r="A318" t="s">
        <v>15</v>
      </c>
      <c r="B318" t="s">
        <v>191</v>
      </c>
      <c r="C318" s="11" t="s">
        <v>1196</v>
      </c>
      <c r="D318" s="3">
        <v>45016</v>
      </c>
      <c r="E318" s="21">
        <v>80400</v>
      </c>
      <c r="F318" s="8" t="s">
        <v>19</v>
      </c>
    </row>
    <row r="319" spans="1:6">
      <c r="A319" t="s">
        <v>15</v>
      </c>
      <c r="B319" t="s">
        <v>191</v>
      </c>
      <c r="C319" s="11" t="s">
        <v>1197</v>
      </c>
      <c r="D319" s="3">
        <v>45016</v>
      </c>
      <c r="E319" s="21">
        <v>6725</v>
      </c>
      <c r="F319" s="8" t="s">
        <v>19</v>
      </c>
    </row>
    <row r="320" spans="1:6">
      <c r="A320" t="s">
        <v>15</v>
      </c>
      <c r="B320" t="s">
        <v>191</v>
      </c>
      <c r="C320" s="11" t="s">
        <v>1198</v>
      </c>
      <c r="D320" s="3">
        <v>45114</v>
      </c>
      <c r="E320" s="21">
        <v>194250</v>
      </c>
      <c r="F320" s="8" t="s">
        <v>19</v>
      </c>
    </row>
    <row r="321" spans="1:6">
      <c r="A321" t="s">
        <v>15</v>
      </c>
      <c r="B321" t="s">
        <v>191</v>
      </c>
      <c r="C321" s="7">
        <v>1631</v>
      </c>
      <c r="D321" s="3">
        <v>45594</v>
      </c>
      <c r="E321" s="21">
        <v>24120</v>
      </c>
      <c r="F321" s="8" t="s">
        <v>19</v>
      </c>
    </row>
    <row r="322" spans="1:6">
      <c r="A322" t="s">
        <v>15</v>
      </c>
      <c r="B322" t="s">
        <v>191</v>
      </c>
      <c r="C322" s="7">
        <v>1632</v>
      </c>
      <c r="D322" s="3">
        <v>45594</v>
      </c>
      <c r="E322" s="21">
        <v>8739.7999999999993</v>
      </c>
      <c r="F322" s="8" t="s">
        <v>19</v>
      </c>
    </row>
    <row r="323" spans="1:6">
      <c r="A323" t="s">
        <v>15</v>
      </c>
      <c r="B323" t="s">
        <v>191</v>
      </c>
      <c r="C323" s="7">
        <v>1633</v>
      </c>
      <c r="D323" s="3">
        <v>45594</v>
      </c>
      <c r="E323" s="21">
        <v>14125</v>
      </c>
      <c r="F323" s="8" t="s">
        <v>19</v>
      </c>
    </row>
    <row r="324" spans="1:6">
      <c r="A324" t="s">
        <v>15</v>
      </c>
      <c r="B324" t="s">
        <v>192</v>
      </c>
      <c r="C324" s="11" t="s">
        <v>1199</v>
      </c>
      <c r="D324" s="3">
        <v>45275</v>
      </c>
      <c r="E324" s="21">
        <v>280055</v>
      </c>
      <c r="F324" s="8" t="s">
        <v>19</v>
      </c>
    </row>
    <row r="325" spans="1:6">
      <c r="A325" t="s">
        <v>15</v>
      </c>
      <c r="B325" t="s">
        <v>192</v>
      </c>
      <c r="C325" s="11" t="s">
        <v>1200</v>
      </c>
      <c r="D325" s="3">
        <v>45370</v>
      </c>
      <c r="E325" s="21">
        <v>52808.56</v>
      </c>
      <c r="F325" s="8" t="s">
        <v>19</v>
      </c>
    </row>
    <row r="326" spans="1:6">
      <c r="A326" t="s">
        <v>15</v>
      </c>
      <c r="B326" t="s">
        <v>192</v>
      </c>
      <c r="C326" s="11" t="s">
        <v>1201</v>
      </c>
      <c r="D326" s="3">
        <v>45370</v>
      </c>
      <c r="E326" s="21">
        <v>84075</v>
      </c>
      <c r="F326" s="8" t="s">
        <v>19</v>
      </c>
    </row>
    <row r="327" spans="1:6">
      <c r="A327" t="s">
        <v>15</v>
      </c>
      <c r="B327" t="s">
        <v>192</v>
      </c>
      <c r="C327" s="11" t="s">
        <v>1202</v>
      </c>
      <c r="D327" s="3">
        <v>45373</v>
      </c>
      <c r="E327" s="21">
        <v>22243</v>
      </c>
      <c r="F327" s="8" t="s">
        <v>19</v>
      </c>
    </row>
    <row r="328" spans="1:6">
      <c r="A328" t="s">
        <v>15</v>
      </c>
      <c r="B328" t="s">
        <v>192</v>
      </c>
      <c r="C328" s="11" t="s">
        <v>1203</v>
      </c>
      <c r="D328" s="3">
        <v>45439</v>
      </c>
      <c r="E328" s="21">
        <v>36580</v>
      </c>
      <c r="F328" s="8" t="s">
        <v>19</v>
      </c>
    </row>
    <row r="329" spans="1:6">
      <c r="A329" t="s">
        <v>15</v>
      </c>
      <c r="B329" t="s">
        <v>192</v>
      </c>
      <c r="C329" s="11" t="s">
        <v>1204</v>
      </c>
      <c r="D329" s="3">
        <v>45463</v>
      </c>
      <c r="E329" s="21">
        <v>38088.53</v>
      </c>
      <c r="F329" s="8" t="s">
        <v>19</v>
      </c>
    </row>
    <row r="330" spans="1:6">
      <c r="A330" t="s">
        <v>15</v>
      </c>
      <c r="B330" t="s">
        <v>192</v>
      </c>
      <c r="C330" s="11" t="s">
        <v>1205</v>
      </c>
      <c r="D330" s="3">
        <v>45534</v>
      </c>
      <c r="E330" s="21">
        <v>90086</v>
      </c>
      <c r="F330" s="8" t="s">
        <v>19</v>
      </c>
    </row>
    <row r="331" spans="1:6">
      <c r="A331" t="s">
        <v>15</v>
      </c>
      <c r="B331" t="s">
        <v>192</v>
      </c>
      <c r="C331" s="11" t="s">
        <v>1206</v>
      </c>
      <c r="D331" s="3">
        <v>45595</v>
      </c>
      <c r="E331" s="21">
        <v>33630</v>
      </c>
      <c r="F331" s="8" t="s">
        <v>19</v>
      </c>
    </row>
    <row r="332" spans="1:6">
      <c r="A332" t="s">
        <v>15</v>
      </c>
      <c r="B332" t="s">
        <v>192</v>
      </c>
      <c r="C332" s="11" t="s">
        <v>1207</v>
      </c>
      <c r="D332" s="3">
        <v>45595</v>
      </c>
      <c r="E332" s="21">
        <v>18768.13</v>
      </c>
      <c r="F332" s="8" t="s">
        <v>19</v>
      </c>
    </row>
    <row r="333" spans="1:6">
      <c r="A333" t="s">
        <v>15</v>
      </c>
      <c r="B333" t="s">
        <v>192</v>
      </c>
      <c r="C333" s="11" t="s">
        <v>1208</v>
      </c>
      <c r="D333" s="3">
        <v>45600</v>
      </c>
      <c r="E333" s="21">
        <v>51920</v>
      </c>
      <c r="F333" s="8" t="s">
        <v>19</v>
      </c>
    </row>
    <row r="334" spans="1:6">
      <c r="A334" t="s">
        <v>15</v>
      </c>
      <c r="B334" t="s">
        <v>192</v>
      </c>
      <c r="C334" s="11" t="s">
        <v>1209</v>
      </c>
      <c r="D334" s="3">
        <v>45625</v>
      </c>
      <c r="E334" s="21">
        <v>109856</v>
      </c>
      <c r="F334" s="8" t="s">
        <v>19</v>
      </c>
    </row>
    <row r="335" spans="1:6">
      <c r="A335" t="s">
        <v>15</v>
      </c>
      <c r="B335" t="s">
        <v>193</v>
      </c>
      <c r="C335" s="11" t="s">
        <v>1210</v>
      </c>
      <c r="D335" s="3">
        <v>45365</v>
      </c>
      <c r="E335" s="21">
        <v>4500</v>
      </c>
      <c r="F335" s="8" t="s">
        <v>19</v>
      </c>
    </row>
    <row r="336" spans="1:6">
      <c r="A336" t="s">
        <v>15</v>
      </c>
      <c r="B336" t="s">
        <v>194</v>
      </c>
      <c r="C336" s="11" t="s">
        <v>1211</v>
      </c>
      <c r="D336" s="3">
        <v>45261</v>
      </c>
      <c r="E336" s="21">
        <v>213939.04</v>
      </c>
      <c r="F336" s="8" t="s">
        <v>19</v>
      </c>
    </row>
    <row r="337" spans="1:6">
      <c r="A337" t="s">
        <v>15</v>
      </c>
      <c r="B337" t="s">
        <v>194</v>
      </c>
      <c r="C337" s="11" t="s">
        <v>1212</v>
      </c>
      <c r="D337" s="3">
        <v>45444</v>
      </c>
      <c r="E337" s="21">
        <v>63000</v>
      </c>
      <c r="F337" s="8" t="s">
        <v>19</v>
      </c>
    </row>
    <row r="338" spans="1:6">
      <c r="A338" t="s">
        <v>15</v>
      </c>
      <c r="B338" t="s">
        <v>194</v>
      </c>
      <c r="C338" s="11" t="s">
        <v>1213</v>
      </c>
      <c r="D338" s="3">
        <v>45444</v>
      </c>
      <c r="E338" s="21">
        <v>58500</v>
      </c>
      <c r="F338" s="8" t="s">
        <v>19</v>
      </c>
    </row>
    <row r="339" spans="1:6">
      <c r="A339" t="s">
        <v>15</v>
      </c>
      <c r="B339" t="s">
        <v>194</v>
      </c>
      <c r="C339" s="11" t="s">
        <v>1214</v>
      </c>
      <c r="D339" s="3">
        <v>45456</v>
      </c>
      <c r="E339" s="21">
        <v>29025</v>
      </c>
      <c r="F339" s="8" t="s">
        <v>19</v>
      </c>
    </row>
    <row r="340" spans="1:6">
      <c r="A340" t="s">
        <v>15</v>
      </c>
      <c r="B340" t="s">
        <v>194</v>
      </c>
      <c r="C340" s="11" t="s">
        <v>1215</v>
      </c>
      <c r="D340" s="3">
        <v>45456</v>
      </c>
      <c r="E340" s="21">
        <v>42000</v>
      </c>
      <c r="F340" s="8" t="s">
        <v>19</v>
      </c>
    </row>
    <row r="341" spans="1:6">
      <c r="A341" t="s">
        <v>15</v>
      </c>
      <c r="B341" t="s">
        <v>194</v>
      </c>
      <c r="C341" s="11" t="s">
        <v>1216</v>
      </c>
      <c r="D341" s="3">
        <v>45485</v>
      </c>
      <c r="E341" s="21">
        <v>16489.66</v>
      </c>
      <c r="F341" s="8" t="s">
        <v>19</v>
      </c>
    </row>
    <row r="342" spans="1:6">
      <c r="A342" t="s">
        <v>15</v>
      </c>
      <c r="B342" t="s">
        <v>194</v>
      </c>
      <c r="C342" s="11" t="s">
        <v>1217</v>
      </c>
      <c r="D342" s="3">
        <v>45495</v>
      </c>
      <c r="E342" s="21">
        <v>23919.41</v>
      </c>
      <c r="F342" s="8" t="s">
        <v>19</v>
      </c>
    </row>
    <row r="343" spans="1:6">
      <c r="A343" t="s">
        <v>15</v>
      </c>
      <c r="B343" t="s">
        <v>194</v>
      </c>
      <c r="C343" s="11" t="s">
        <v>1218</v>
      </c>
      <c r="D343" s="3">
        <v>45561</v>
      </c>
      <c r="E343" s="21">
        <v>53100</v>
      </c>
      <c r="F343" s="8" t="s">
        <v>19</v>
      </c>
    </row>
    <row r="344" spans="1:6">
      <c r="A344" t="s">
        <v>15</v>
      </c>
      <c r="B344" t="s">
        <v>195</v>
      </c>
      <c r="C344" s="11" t="s">
        <v>1219</v>
      </c>
      <c r="D344" s="3">
        <v>44102</v>
      </c>
      <c r="E344" s="21">
        <v>155909</v>
      </c>
      <c r="F344" s="8" t="s">
        <v>19</v>
      </c>
    </row>
    <row r="345" spans="1:6">
      <c r="A345" t="s">
        <v>15</v>
      </c>
      <c r="B345" t="s">
        <v>195</v>
      </c>
      <c r="C345" s="11" t="s">
        <v>1220</v>
      </c>
      <c r="D345" s="3">
        <v>44250</v>
      </c>
      <c r="E345" s="21">
        <v>1732</v>
      </c>
      <c r="F345" s="8" t="s">
        <v>19</v>
      </c>
    </row>
    <row r="346" spans="1:6">
      <c r="A346" t="s">
        <v>15</v>
      </c>
      <c r="B346" t="s">
        <v>195</v>
      </c>
      <c r="C346" s="11" t="s">
        <v>1221</v>
      </c>
      <c r="D346" s="3">
        <v>44291</v>
      </c>
      <c r="E346" s="21">
        <v>1076</v>
      </c>
      <c r="F346" s="8" t="s">
        <v>19</v>
      </c>
    </row>
    <row r="347" spans="1:6">
      <c r="A347" t="s">
        <v>15</v>
      </c>
      <c r="B347" t="s">
        <v>195</v>
      </c>
      <c r="C347" s="11" t="s">
        <v>1222</v>
      </c>
      <c r="D347" s="3">
        <v>45016</v>
      </c>
      <c r="E347" s="21">
        <v>9088</v>
      </c>
      <c r="F347" s="8" t="s">
        <v>19</v>
      </c>
    </row>
    <row r="348" spans="1:6">
      <c r="A348" t="s">
        <v>15</v>
      </c>
      <c r="B348" t="s">
        <v>196</v>
      </c>
      <c r="C348" s="11" t="s">
        <v>1223</v>
      </c>
      <c r="D348" s="3">
        <v>44893</v>
      </c>
      <c r="E348" s="21">
        <v>30652</v>
      </c>
      <c r="F348" s="8" t="s">
        <v>19</v>
      </c>
    </row>
    <row r="349" spans="1:6">
      <c r="A349" t="s">
        <v>15</v>
      </c>
      <c r="B349" t="s">
        <v>196</v>
      </c>
      <c r="C349" s="11" t="s">
        <v>1224</v>
      </c>
      <c r="D349" s="3">
        <v>44893</v>
      </c>
      <c r="E349" s="21">
        <v>19796</v>
      </c>
      <c r="F349" s="8" t="s">
        <v>19</v>
      </c>
    </row>
    <row r="350" spans="1:6">
      <c r="A350" t="s">
        <v>15</v>
      </c>
      <c r="B350" t="s">
        <v>196</v>
      </c>
      <c r="C350" s="11" t="s">
        <v>1225</v>
      </c>
      <c r="D350" s="3">
        <v>44979</v>
      </c>
      <c r="E350" s="21">
        <v>84150</v>
      </c>
      <c r="F350" s="8" t="s">
        <v>19</v>
      </c>
    </row>
    <row r="351" spans="1:6">
      <c r="A351" t="s">
        <v>15</v>
      </c>
      <c r="B351" t="s">
        <v>196</v>
      </c>
      <c r="C351" s="11" t="s">
        <v>1226</v>
      </c>
      <c r="D351" s="3">
        <v>44992</v>
      </c>
      <c r="E351" s="21">
        <v>44918</v>
      </c>
      <c r="F351" s="8" t="s">
        <v>19</v>
      </c>
    </row>
    <row r="352" spans="1:6">
      <c r="A352" t="s">
        <v>15</v>
      </c>
      <c r="B352" t="s">
        <v>196</v>
      </c>
      <c r="C352" s="11" t="s">
        <v>1227</v>
      </c>
      <c r="D352" s="3">
        <v>45016</v>
      </c>
      <c r="E352" s="21">
        <v>13800</v>
      </c>
      <c r="F352" s="8" t="s">
        <v>19</v>
      </c>
    </row>
    <row r="353" spans="1:6">
      <c r="A353" t="s">
        <v>15</v>
      </c>
      <c r="B353" t="s">
        <v>196</v>
      </c>
      <c r="C353" s="11" t="s">
        <v>1228</v>
      </c>
      <c r="D353" s="3">
        <v>45016</v>
      </c>
      <c r="E353" s="21">
        <v>14632</v>
      </c>
      <c r="F353" s="8" t="s">
        <v>19</v>
      </c>
    </row>
    <row r="354" spans="1:6">
      <c r="A354" t="s">
        <v>15</v>
      </c>
      <c r="B354" t="s">
        <v>196</v>
      </c>
      <c r="C354" s="11" t="s">
        <v>1229</v>
      </c>
      <c r="D354" s="3">
        <v>45016</v>
      </c>
      <c r="E354" s="21">
        <v>73420</v>
      </c>
      <c r="F354" s="8" t="s">
        <v>19</v>
      </c>
    </row>
    <row r="355" spans="1:6">
      <c r="A355" t="s">
        <v>15</v>
      </c>
      <c r="B355" t="s">
        <v>196</v>
      </c>
      <c r="C355" s="11" t="s">
        <v>1230</v>
      </c>
      <c r="D355" s="3">
        <v>45016</v>
      </c>
      <c r="E355" s="21">
        <v>19796</v>
      </c>
      <c r="F355" s="8" t="s">
        <v>19</v>
      </c>
    </row>
    <row r="356" spans="1:6">
      <c r="A356" t="s">
        <v>15</v>
      </c>
      <c r="B356" t="s">
        <v>196</v>
      </c>
      <c r="C356" s="11" t="s">
        <v>1231</v>
      </c>
      <c r="D356" s="3">
        <v>45016</v>
      </c>
      <c r="E356" s="21">
        <v>61714</v>
      </c>
      <c r="F356" s="8" t="s">
        <v>19</v>
      </c>
    </row>
    <row r="357" spans="1:6">
      <c r="A357" t="s">
        <v>15</v>
      </c>
      <c r="B357" t="s">
        <v>196</v>
      </c>
      <c r="C357" s="11" t="s">
        <v>1232</v>
      </c>
      <c r="D357" s="3">
        <v>45016</v>
      </c>
      <c r="E357" s="21">
        <v>250427.5</v>
      </c>
      <c r="F357" s="8" t="s">
        <v>19</v>
      </c>
    </row>
    <row r="358" spans="1:6">
      <c r="A358" t="s">
        <v>15</v>
      </c>
      <c r="B358" t="s">
        <v>196</v>
      </c>
      <c r="C358" s="11" t="s">
        <v>1233</v>
      </c>
      <c r="D358" s="3">
        <v>45371</v>
      </c>
      <c r="E358" s="21">
        <v>277500</v>
      </c>
      <c r="F358" s="8" t="s">
        <v>19</v>
      </c>
    </row>
    <row r="359" spans="1:6">
      <c r="A359" t="s">
        <v>15</v>
      </c>
      <c r="B359" t="s">
        <v>197</v>
      </c>
      <c r="C359" s="11" t="s">
        <v>1234</v>
      </c>
      <c r="D359" s="3">
        <v>44166</v>
      </c>
      <c r="E359" s="21">
        <v>50607.03</v>
      </c>
      <c r="F359" s="8" t="s">
        <v>19</v>
      </c>
    </row>
    <row r="360" spans="1:6">
      <c r="A360" t="s">
        <v>15</v>
      </c>
      <c r="B360" t="s">
        <v>197</v>
      </c>
      <c r="C360" s="11" t="s">
        <v>1235</v>
      </c>
      <c r="D360" s="3">
        <v>44305</v>
      </c>
      <c r="E360" s="21">
        <v>8660</v>
      </c>
      <c r="F360" s="8" t="s">
        <v>19</v>
      </c>
    </row>
    <row r="361" spans="1:6">
      <c r="A361" t="s">
        <v>15</v>
      </c>
      <c r="B361" t="s">
        <v>197</v>
      </c>
      <c r="C361" s="11" t="s">
        <v>1236</v>
      </c>
      <c r="D361" s="3">
        <v>44305</v>
      </c>
      <c r="E361" s="21">
        <v>20437</v>
      </c>
      <c r="F361" s="8" t="s">
        <v>19</v>
      </c>
    </row>
    <row r="362" spans="1:6">
      <c r="A362" t="s">
        <v>15</v>
      </c>
      <c r="B362" t="s">
        <v>197</v>
      </c>
      <c r="C362" s="11" t="s">
        <v>1237</v>
      </c>
      <c r="D362" s="3">
        <v>44398</v>
      </c>
      <c r="E362" s="21">
        <v>7109.17</v>
      </c>
      <c r="F362" s="8" t="s">
        <v>19</v>
      </c>
    </row>
    <row r="363" spans="1:6">
      <c r="A363" t="s">
        <v>15</v>
      </c>
      <c r="B363" t="s">
        <v>198</v>
      </c>
      <c r="C363" s="11" t="s">
        <v>1238</v>
      </c>
      <c r="D363" s="3">
        <v>45272</v>
      </c>
      <c r="E363" s="21">
        <v>299847.13</v>
      </c>
      <c r="F363" s="8" t="s">
        <v>19</v>
      </c>
    </row>
    <row r="364" spans="1:6">
      <c r="A364" t="s">
        <v>15</v>
      </c>
      <c r="B364" t="s">
        <v>198</v>
      </c>
      <c r="C364" s="11" t="s">
        <v>1239</v>
      </c>
      <c r="D364" s="3">
        <v>45349</v>
      </c>
      <c r="E364" s="21">
        <v>61100</v>
      </c>
      <c r="F364" s="8" t="s">
        <v>19</v>
      </c>
    </row>
    <row r="365" spans="1:6">
      <c r="A365" t="s">
        <v>15</v>
      </c>
      <c r="B365" t="s">
        <v>198</v>
      </c>
      <c r="C365" s="11" t="s">
        <v>1240</v>
      </c>
      <c r="D365" s="3">
        <v>45350</v>
      </c>
      <c r="E365" s="21">
        <v>44753</v>
      </c>
      <c r="F365" s="8" t="s">
        <v>19</v>
      </c>
    </row>
    <row r="366" spans="1:6">
      <c r="A366" t="s">
        <v>15</v>
      </c>
      <c r="B366" t="s">
        <v>198</v>
      </c>
      <c r="C366" s="11" t="s">
        <v>1241</v>
      </c>
      <c r="D366" s="3">
        <v>45517</v>
      </c>
      <c r="E366" s="21">
        <v>66378</v>
      </c>
      <c r="F366" s="8" t="s">
        <v>19</v>
      </c>
    </row>
    <row r="367" spans="1:6">
      <c r="A367" t="s">
        <v>15</v>
      </c>
      <c r="B367" t="s">
        <v>198</v>
      </c>
      <c r="C367" s="11" t="s">
        <v>1242</v>
      </c>
      <c r="D367" s="3">
        <v>45518</v>
      </c>
      <c r="E367" s="21">
        <v>27456</v>
      </c>
      <c r="F367" s="8" t="s">
        <v>19</v>
      </c>
    </row>
    <row r="368" spans="1:6">
      <c r="A368" t="s">
        <v>15</v>
      </c>
      <c r="B368" t="s">
        <v>198</v>
      </c>
      <c r="C368" s="11" t="s">
        <v>1243</v>
      </c>
      <c r="D368" s="3">
        <v>45609</v>
      </c>
      <c r="E368" s="21">
        <v>530182</v>
      </c>
      <c r="F368" s="8" t="s">
        <v>19</v>
      </c>
    </row>
    <row r="369" spans="1:6">
      <c r="A369" t="s">
        <v>15</v>
      </c>
      <c r="B369" t="s">
        <v>198</v>
      </c>
      <c r="C369" s="11" t="s">
        <v>1244</v>
      </c>
      <c r="D369" s="3">
        <v>45621</v>
      </c>
      <c r="E369" s="21">
        <v>50890</v>
      </c>
      <c r="F369" s="8" t="s">
        <v>19</v>
      </c>
    </row>
    <row r="370" spans="1:6" hidden="1">
      <c r="A370" t="s">
        <v>15</v>
      </c>
      <c r="B370" t="s">
        <v>199</v>
      </c>
      <c r="C370" s="7"/>
    </row>
    <row r="371" spans="1:6">
      <c r="A371" t="s">
        <v>15</v>
      </c>
      <c r="B371" t="s">
        <v>200</v>
      </c>
      <c r="C371" s="7" t="s">
        <v>1245</v>
      </c>
      <c r="D371" s="3">
        <v>45565</v>
      </c>
      <c r="E371" s="21">
        <v>40920</v>
      </c>
      <c r="F371" t="s">
        <v>19</v>
      </c>
    </row>
    <row r="372" spans="1:6">
      <c r="A372" t="s">
        <v>15</v>
      </c>
      <c r="B372" t="s">
        <v>201</v>
      </c>
      <c r="C372" s="7">
        <v>7</v>
      </c>
      <c r="D372" s="3">
        <v>45747</v>
      </c>
      <c r="E372" s="21">
        <v>137797.78</v>
      </c>
      <c r="F372" t="s">
        <v>25</v>
      </c>
    </row>
    <row r="373" spans="1:6">
      <c r="A373" t="s">
        <v>15</v>
      </c>
      <c r="B373" t="s">
        <v>202</v>
      </c>
      <c r="C373" s="11" t="s">
        <v>1246</v>
      </c>
      <c r="D373" s="3">
        <v>44463</v>
      </c>
      <c r="E373" s="21">
        <v>13168.26</v>
      </c>
      <c r="F373" t="s">
        <v>19</v>
      </c>
    </row>
    <row r="374" spans="1:6">
      <c r="A374" t="s">
        <v>15</v>
      </c>
      <c r="B374" t="s">
        <v>203</v>
      </c>
      <c r="C374" s="11" t="s">
        <v>1247</v>
      </c>
      <c r="D374" s="3">
        <v>44882</v>
      </c>
      <c r="E374" s="21">
        <v>37400</v>
      </c>
      <c r="F374" t="s">
        <v>19</v>
      </c>
    </row>
    <row r="375" spans="1:6">
      <c r="A375" t="s">
        <v>15</v>
      </c>
      <c r="B375" t="s">
        <v>203</v>
      </c>
      <c r="C375" s="11" t="s">
        <v>1248</v>
      </c>
      <c r="D375" s="3">
        <v>44895</v>
      </c>
      <c r="E375" s="21">
        <v>16254</v>
      </c>
      <c r="F375" t="s">
        <v>19</v>
      </c>
    </row>
    <row r="376" spans="1:6">
      <c r="A376" t="s">
        <v>15</v>
      </c>
      <c r="B376" t="s">
        <v>203</v>
      </c>
      <c r="C376" s="11" t="s">
        <v>1249</v>
      </c>
      <c r="D376" s="3">
        <v>44986</v>
      </c>
      <c r="E376" s="21">
        <v>28250</v>
      </c>
      <c r="F376" t="s">
        <v>19</v>
      </c>
    </row>
    <row r="377" spans="1:6">
      <c r="A377" t="s">
        <v>15</v>
      </c>
      <c r="B377" t="s">
        <v>203</v>
      </c>
      <c r="C377" s="11" t="s">
        <v>1250</v>
      </c>
      <c r="D377" s="3">
        <v>45016</v>
      </c>
      <c r="E377" s="21">
        <v>90250</v>
      </c>
      <c r="F377" t="s">
        <v>19</v>
      </c>
    </row>
    <row r="378" spans="1:6">
      <c r="A378" t="s">
        <v>15</v>
      </c>
      <c r="B378" t="s">
        <v>203</v>
      </c>
      <c r="C378" s="11" t="s">
        <v>1251</v>
      </c>
      <c r="D378" s="3">
        <v>45016</v>
      </c>
      <c r="E378" s="21">
        <v>9200</v>
      </c>
      <c r="F378" t="s">
        <v>19</v>
      </c>
    </row>
    <row r="379" spans="1:6">
      <c r="A379" t="s">
        <v>15</v>
      </c>
      <c r="B379" t="s">
        <v>203</v>
      </c>
      <c r="C379" s="11" t="s">
        <v>1252</v>
      </c>
      <c r="D379" s="3">
        <v>45016</v>
      </c>
      <c r="E379" s="21">
        <v>15881</v>
      </c>
      <c r="F379" t="s">
        <v>19</v>
      </c>
    </row>
    <row r="380" spans="1:6">
      <c r="A380" t="s">
        <v>15</v>
      </c>
      <c r="B380" t="s">
        <v>203</v>
      </c>
      <c r="C380" s="11" t="s">
        <v>1253</v>
      </c>
      <c r="D380" s="3">
        <v>45016</v>
      </c>
      <c r="E380" s="21">
        <v>32073</v>
      </c>
      <c r="F380" t="s">
        <v>19</v>
      </c>
    </row>
    <row r="381" spans="1:6">
      <c r="A381" t="s">
        <v>15</v>
      </c>
      <c r="B381" t="s">
        <v>203</v>
      </c>
      <c r="C381" s="11" t="s">
        <v>1254</v>
      </c>
      <c r="D381" s="3">
        <v>45016</v>
      </c>
      <c r="E381" s="21">
        <v>19796</v>
      </c>
      <c r="F381" t="s">
        <v>19</v>
      </c>
    </row>
    <row r="382" spans="1:6">
      <c r="A382" t="s">
        <v>15</v>
      </c>
      <c r="B382" t="s">
        <v>203</v>
      </c>
      <c r="C382" s="11" t="s">
        <v>1255</v>
      </c>
      <c r="D382" s="3">
        <v>45016</v>
      </c>
      <c r="E382" s="21">
        <v>59530</v>
      </c>
      <c r="F382" t="s">
        <v>19</v>
      </c>
    </row>
    <row r="383" spans="1:6">
      <c r="A383" t="s">
        <v>15</v>
      </c>
      <c r="B383" t="s">
        <v>203</v>
      </c>
      <c r="C383" s="11" t="s">
        <v>1256</v>
      </c>
      <c r="D383" s="3">
        <v>45016</v>
      </c>
      <c r="E383" s="21">
        <v>19796</v>
      </c>
      <c r="F383" t="s">
        <v>19</v>
      </c>
    </row>
    <row r="384" spans="1:6">
      <c r="A384" t="s">
        <v>15</v>
      </c>
      <c r="B384" t="s">
        <v>203</v>
      </c>
      <c r="C384" s="11" t="s">
        <v>1257</v>
      </c>
      <c r="D384" s="3">
        <v>45295</v>
      </c>
      <c r="E384" s="21">
        <v>285000</v>
      </c>
      <c r="F384" t="s">
        <v>19</v>
      </c>
    </row>
    <row r="385" spans="1:6">
      <c r="A385" t="s">
        <v>15</v>
      </c>
      <c r="B385" t="s">
        <v>203</v>
      </c>
      <c r="C385" s="7">
        <v>1588</v>
      </c>
      <c r="D385" s="3">
        <v>45594</v>
      </c>
      <c r="E385" s="21">
        <v>22066</v>
      </c>
      <c r="F385" t="s">
        <v>19</v>
      </c>
    </row>
    <row r="386" spans="1:6">
      <c r="A386" t="s">
        <v>15</v>
      </c>
      <c r="B386" t="s">
        <v>203</v>
      </c>
      <c r="C386" s="7">
        <v>1589</v>
      </c>
      <c r="D386" s="3">
        <v>45594</v>
      </c>
      <c r="E386" s="21">
        <v>1090.1199999999999</v>
      </c>
      <c r="F386" t="s">
        <v>19</v>
      </c>
    </row>
    <row r="387" spans="1:6">
      <c r="A387" t="s">
        <v>15</v>
      </c>
      <c r="B387" t="s">
        <v>203</v>
      </c>
      <c r="C387" s="7">
        <v>1590</v>
      </c>
      <c r="D387" s="3">
        <v>45594</v>
      </c>
      <c r="E387" s="21">
        <v>9590</v>
      </c>
      <c r="F387" t="s">
        <v>19</v>
      </c>
    </row>
    <row r="388" spans="1:6">
      <c r="A388" t="s">
        <v>15</v>
      </c>
      <c r="B388" t="s">
        <v>203</v>
      </c>
      <c r="C388" s="7">
        <v>1591</v>
      </c>
      <c r="D388" s="3">
        <v>45594</v>
      </c>
      <c r="E388" s="21">
        <v>14125</v>
      </c>
      <c r="F388" t="s">
        <v>19</v>
      </c>
    </row>
    <row r="389" spans="1:6">
      <c r="A389" t="s">
        <v>15</v>
      </c>
      <c r="B389" t="s">
        <v>204</v>
      </c>
      <c r="C389" s="7" t="s">
        <v>1258</v>
      </c>
      <c r="D389" s="3">
        <v>45282</v>
      </c>
      <c r="E389" s="21">
        <v>234145</v>
      </c>
      <c r="F389" t="s">
        <v>19</v>
      </c>
    </row>
    <row r="390" spans="1:6">
      <c r="A390" t="s">
        <v>15</v>
      </c>
      <c r="B390" t="s">
        <v>204</v>
      </c>
      <c r="C390" s="7" t="s">
        <v>1259</v>
      </c>
      <c r="D390" s="3">
        <v>45343</v>
      </c>
      <c r="E390" s="21">
        <v>52875</v>
      </c>
      <c r="F390" t="s">
        <v>19</v>
      </c>
    </row>
    <row r="391" spans="1:6">
      <c r="A391" t="s">
        <v>15</v>
      </c>
      <c r="B391" t="s">
        <v>204</v>
      </c>
      <c r="C391" s="7" t="s">
        <v>1260</v>
      </c>
      <c r="D391" s="3">
        <v>45343</v>
      </c>
      <c r="E391" s="21">
        <v>44753.56</v>
      </c>
      <c r="F391" t="s">
        <v>19</v>
      </c>
    </row>
    <row r="392" spans="1:6">
      <c r="A392" t="s">
        <v>15</v>
      </c>
      <c r="B392" t="s">
        <v>204</v>
      </c>
      <c r="C392" s="7" t="s">
        <v>1261</v>
      </c>
      <c r="D392" s="3">
        <v>45394</v>
      </c>
      <c r="E392" s="21">
        <v>12672.2</v>
      </c>
      <c r="F392" t="s">
        <v>19</v>
      </c>
    </row>
    <row r="393" spans="1:6">
      <c r="A393" t="s">
        <v>15</v>
      </c>
      <c r="B393" t="s">
        <v>204</v>
      </c>
      <c r="C393" s="7" t="s">
        <v>1262</v>
      </c>
      <c r="D393" s="3">
        <v>45414</v>
      </c>
      <c r="E393" s="21">
        <v>43193.599999999999</v>
      </c>
      <c r="F393" t="s">
        <v>19</v>
      </c>
    </row>
    <row r="394" spans="1:6">
      <c r="A394" t="s">
        <v>15</v>
      </c>
      <c r="B394" t="s">
        <v>204</v>
      </c>
      <c r="C394" s="7" t="s">
        <v>1263</v>
      </c>
      <c r="D394" s="3">
        <v>45621</v>
      </c>
      <c r="E394" s="21">
        <v>83399.45</v>
      </c>
      <c r="F394" t="s">
        <v>19</v>
      </c>
    </row>
    <row r="395" spans="1:6">
      <c r="A395" t="s">
        <v>15</v>
      </c>
      <c r="B395" t="s">
        <v>204</v>
      </c>
      <c r="C395" s="7" t="s">
        <v>1264</v>
      </c>
      <c r="D395" s="3">
        <v>45621</v>
      </c>
      <c r="E395" s="21">
        <v>32193.200000000001</v>
      </c>
      <c r="F395" t="s">
        <v>19</v>
      </c>
    </row>
    <row r="396" spans="1:6">
      <c r="A396" t="s">
        <v>15</v>
      </c>
      <c r="B396" t="s">
        <v>205</v>
      </c>
      <c r="C396" s="7">
        <v>8</v>
      </c>
      <c r="D396" s="3">
        <v>45747</v>
      </c>
      <c r="E396" s="21">
        <v>88466</v>
      </c>
      <c r="F396" t="s">
        <v>25</v>
      </c>
    </row>
    <row r="397" spans="1:6">
      <c r="A397" t="s">
        <v>15</v>
      </c>
      <c r="B397" t="s">
        <v>206</v>
      </c>
      <c r="C397" s="7" t="s">
        <v>1265</v>
      </c>
      <c r="D397" s="3">
        <v>44291</v>
      </c>
      <c r="E397" s="21">
        <v>99.7</v>
      </c>
      <c r="F397" t="s">
        <v>19</v>
      </c>
    </row>
    <row r="398" spans="1:6">
      <c r="A398" t="s">
        <v>15</v>
      </c>
      <c r="B398" t="s">
        <v>206</v>
      </c>
      <c r="C398" s="7" t="s">
        <v>1266</v>
      </c>
      <c r="D398" s="3">
        <v>44480</v>
      </c>
      <c r="E398" s="21">
        <v>9513.75</v>
      </c>
      <c r="F398" t="s">
        <v>19</v>
      </c>
    </row>
    <row r="399" spans="1:6">
      <c r="A399" t="s">
        <v>15</v>
      </c>
      <c r="B399" t="s">
        <v>207</v>
      </c>
      <c r="C399" s="14" t="s">
        <v>1267</v>
      </c>
      <c r="D399" s="17">
        <v>44382</v>
      </c>
      <c r="E399" s="21">
        <v>10797</v>
      </c>
      <c r="F399" t="s">
        <v>19</v>
      </c>
    </row>
    <row r="400" spans="1:6">
      <c r="A400" t="s">
        <v>15</v>
      </c>
      <c r="B400" t="s">
        <v>207</v>
      </c>
      <c r="C400" s="14" t="s">
        <v>1268</v>
      </c>
      <c r="D400" s="17">
        <v>44991</v>
      </c>
      <c r="E400" s="21">
        <v>42375</v>
      </c>
      <c r="F400" t="s">
        <v>19</v>
      </c>
    </row>
    <row r="401" spans="1:6">
      <c r="A401" t="s">
        <v>15</v>
      </c>
      <c r="B401" t="s">
        <v>207</v>
      </c>
      <c r="C401" s="14" t="s">
        <v>1269</v>
      </c>
      <c r="D401" s="17">
        <v>45016</v>
      </c>
      <c r="E401" s="21">
        <v>12450</v>
      </c>
      <c r="F401" t="s">
        <v>19</v>
      </c>
    </row>
    <row r="402" spans="1:6">
      <c r="A402" t="s">
        <v>15</v>
      </c>
      <c r="B402" t="s">
        <v>207</v>
      </c>
      <c r="C402" s="14" t="s">
        <v>1270</v>
      </c>
      <c r="D402" s="17">
        <v>45016</v>
      </c>
      <c r="E402" s="21">
        <v>49045</v>
      </c>
      <c r="F402" t="s">
        <v>19</v>
      </c>
    </row>
    <row r="403" spans="1:6">
      <c r="A403" t="s">
        <v>15</v>
      </c>
      <c r="B403" t="s">
        <v>207</v>
      </c>
      <c r="C403" s="14" t="s">
        <v>1271</v>
      </c>
      <c r="D403" s="17">
        <v>45016</v>
      </c>
      <c r="E403" s="21">
        <v>8305</v>
      </c>
      <c r="F403" t="s">
        <v>19</v>
      </c>
    </row>
    <row r="404" spans="1:6">
      <c r="A404" t="s">
        <v>15</v>
      </c>
      <c r="B404" t="s">
        <v>207</v>
      </c>
      <c r="C404" s="14" t="s">
        <v>1272</v>
      </c>
      <c r="D404" s="17">
        <v>45016</v>
      </c>
      <c r="E404" s="21">
        <v>12450</v>
      </c>
      <c r="F404" t="s">
        <v>19</v>
      </c>
    </row>
    <row r="405" spans="1:6">
      <c r="A405" t="s">
        <v>15</v>
      </c>
      <c r="B405" t="s">
        <v>207</v>
      </c>
      <c r="C405" s="14" t="s">
        <v>1273</v>
      </c>
      <c r="D405" s="17">
        <v>45016</v>
      </c>
      <c r="E405" s="21">
        <v>22360</v>
      </c>
      <c r="F405" t="s">
        <v>19</v>
      </c>
    </row>
    <row r="406" spans="1:6">
      <c r="A406" t="s">
        <v>15</v>
      </c>
      <c r="B406" t="s">
        <v>207</v>
      </c>
      <c r="C406" s="14" t="s">
        <v>1274</v>
      </c>
      <c r="D406" s="17">
        <v>45016</v>
      </c>
      <c r="E406" s="21">
        <v>80400</v>
      </c>
      <c r="F406" t="s">
        <v>19</v>
      </c>
    </row>
    <row r="407" spans="1:6">
      <c r="A407" t="s">
        <v>15</v>
      </c>
      <c r="B407" t="s">
        <v>207</v>
      </c>
      <c r="C407" s="14" t="s">
        <v>1275</v>
      </c>
      <c r="D407" s="17">
        <v>45016</v>
      </c>
      <c r="E407" s="21">
        <v>20958</v>
      </c>
      <c r="F407" t="s">
        <v>19</v>
      </c>
    </row>
    <row r="408" spans="1:6">
      <c r="A408" t="s">
        <v>15</v>
      </c>
      <c r="B408" t="s">
        <v>207</v>
      </c>
      <c r="C408" s="14" t="s">
        <v>1276</v>
      </c>
      <c r="D408" s="17">
        <v>45016</v>
      </c>
      <c r="E408" s="21">
        <v>44880</v>
      </c>
      <c r="F408" t="s">
        <v>19</v>
      </c>
    </row>
    <row r="409" spans="1:6">
      <c r="A409" t="s">
        <v>15</v>
      </c>
      <c r="B409" t="s">
        <v>207</v>
      </c>
      <c r="C409" s="14" t="s">
        <v>1277</v>
      </c>
      <c r="D409" s="17">
        <v>45306</v>
      </c>
      <c r="E409" s="21">
        <v>203150</v>
      </c>
      <c r="F409" t="s">
        <v>19</v>
      </c>
    </row>
    <row r="410" spans="1:6">
      <c r="A410" t="s">
        <v>15</v>
      </c>
      <c r="B410" t="s">
        <v>207</v>
      </c>
      <c r="C410" s="14" t="s">
        <v>1278</v>
      </c>
      <c r="D410" s="17">
        <v>45442</v>
      </c>
      <c r="E410" s="21">
        <v>7360</v>
      </c>
      <c r="F410" t="s">
        <v>19</v>
      </c>
    </row>
    <row r="411" spans="1:6">
      <c r="A411" t="s">
        <v>15</v>
      </c>
      <c r="B411" t="s">
        <v>208</v>
      </c>
      <c r="C411" s="14" t="s">
        <v>1279</v>
      </c>
      <c r="D411" s="17">
        <v>44155</v>
      </c>
      <c r="E411" s="21">
        <v>118047.67999999999</v>
      </c>
      <c r="F411" t="s">
        <v>19</v>
      </c>
    </row>
    <row r="412" spans="1:6">
      <c r="A412" t="s">
        <v>15</v>
      </c>
      <c r="B412" t="s">
        <v>208</v>
      </c>
      <c r="C412" s="14" t="s">
        <v>1280</v>
      </c>
      <c r="D412" s="17">
        <v>44287</v>
      </c>
      <c r="E412" s="21">
        <v>130572.39</v>
      </c>
      <c r="F412" t="s">
        <v>19</v>
      </c>
    </row>
    <row r="413" spans="1:6">
      <c r="A413" t="s">
        <v>15</v>
      </c>
      <c r="B413" t="s">
        <v>208</v>
      </c>
      <c r="C413" s="14" t="s">
        <v>1281</v>
      </c>
      <c r="D413" s="17">
        <v>44287</v>
      </c>
      <c r="E413" s="21">
        <v>49450</v>
      </c>
      <c r="F413" t="s">
        <v>19</v>
      </c>
    </row>
    <row r="414" spans="1:6">
      <c r="A414" t="s">
        <v>15</v>
      </c>
      <c r="B414" t="s">
        <v>208</v>
      </c>
      <c r="C414" s="14" t="s">
        <v>1282</v>
      </c>
      <c r="D414" s="17">
        <v>44291</v>
      </c>
      <c r="E414" s="21">
        <v>13278.78</v>
      </c>
      <c r="F414" t="s">
        <v>19</v>
      </c>
    </row>
    <row r="415" spans="1:6">
      <c r="A415" t="s">
        <v>15</v>
      </c>
      <c r="B415" t="s">
        <v>208</v>
      </c>
      <c r="C415" s="14" t="s">
        <v>1283</v>
      </c>
      <c r="D415" s="17">
        <v>44463</v>
      </c>
      <c r="E415" s="21">
        <v>17736</v>
      </c>
      <c r="F415" t="s">
        <v>19</v>
      </c>
    </row>
    <row r="416" spans="1:6">
      <c r="A416" t="s">
        <v>15</v>
      </c>
      <c r="B416" t="s">
        <v>208</v>
      </c>
      <c r="C416" s="14" t="s">
        <v>1284</v>
      </c>
      <c r="D416" s="17">
        <v>45016</v>
      </c>
      <c r="E416" s="21">
        <v>43056</v>
      </c>
      <c r="F416" t="s">
        <v>19</v>
      </c>
    </row>
    <row r="417" spans="1:6">
      <c r="A417" t="s">
        <v>15</v>
      </c>
      <c r="B417" t="s">
        <v>208</v>
      </c>
      <c r="C417" s="14" t="s">
        <v>1285</v>
      </c>
      <c r="D417" s="17">
        <v>45258</v>
      </c>
      <c r="E417" s="21">
        <v>9815</v>
      </c>
      <c r="F417" t="s">
        <v>19</v>
      </c>
    </row>
    <row r="418" spans="1:6">
      <c r="A418" t="s">
        <v>15</v>
      </c>
      <c r="B418" t="s">
        <v>209</v>
      </c>
      <c r="C418" s="7" t="s">
        <v>1286</v>
      </c>
      <c r="D418" s="3">
        <v>45733</v>
      </c>
      <c r="E418" s="21">
        <v>585339</v>
      </c>
      <c r="F418" t="s">
        <v>19</v>
      </c>
    </row>
    <row r="419" spans="1:6">
      <c r="A419" t="s">
        <v>15</v>
      </c>
      <c r="B419" t="s">
        <v>209</v>
      </c>
      <c r="C419" s="7" t="s">
        <v>1287</v>
      </c>
      <c r="D419" s="3">
        <v>45733</v>
      </c>
      <c r="E419" s="21">
        <v>487642</v>
      </c>
      <c r="F419" t="s">
        <v>19</v>
      </c>
    </row>
    <row r="420" spans="1:6">
      <c r="A420" t="s">
        <v>15</v>
      </c>
      <c r="B420" t="s">
        <v>210</v>
      </c>
      <c r="C420" s="7" t="s">
        <v>1288</v>
      </c>
      <c r="D420" s="3">
        <v>45275</v>
      </c>
      <c r="E420" s="21">
        <v>349280.2</v>
      </c>
      <c r="F420" t="s">
        <v>19</v>
      </c>
    </row>
    <row r="421" spans="1:6">
      <c r="A421" t="s">
        <v>15</v>
      </c>
      <c r="B421" t="s">
        <v>210</v>
      </c>
      <c r="C421" s="7" t="s">
        <v>1289</v>
      </c>
      <c r="D421" s="3">
        <v>45373</v>
      </c>
      <c r="E421" s="21">
        <v>74100</v>
      </c>
      <c r="F421" t="s">
        <v>19</v>
      </c>
    </row>
    <row r="422" spans="1:6">
      <c r="A422" t="s">
        <v>15</v>
      </c>
      <c r="B422" t="s">
        <v>210</v>
      </c>
      <c r="C422" s="7" t="s">
        <v>1290</v>
      </c>
      <c r="D422" s="3">
        <v>45373</v>
      </c>
      <c r="E422" s="21">
        <v>35801.56</v>
      </c>
      <c r="F422" t="s">
        <v>19</v>
      </c>
    </row>
    <row r="423" spans="1:6">
      <c r="A423" t="s">
        <v>15</v>
      </c>
      <c r="B423" t="s">
        <v>210</v>
      </c>
      <c r="C423" s="7" t="s">
        <v>1291</v>
      </c>
      <c r="D423" s="3">
        <v>45373</v>
      </c>
      <c r="E423" s="21">
        <v>19604.400000000001</v>
      </c>
      <c r="F423" t="s">
        <v>19</v>
      </c>
    </row>
    <row r="424" spans="1:6">
      <c r="A424" t="s">
        <v>15</v>
      </c>
      <c r="B424" t="s">
        <v>210</v>
      </c>
      <c r="C424" s="7" t="s">
        <v>1292</v>
      </c>
      <c r="D424" s="3">
        <v>45453</v>
      </c>
      <c r="E424" s="21">
        <v>29000</v>
      </c>
      <c r="F424" t="s">
        <v>19</v>
      </c>
    </row>
    <row r="425" spans="1:6">
      <c r="A425" t="s">
        <v>15</v>
      </c>
      <c r="B425" t="s">
        <v>210</v>
      </c>
      <c r="C425" s="7" t="s">
        <v>1293</v>
      </c>
      <c r="D425" s="3">
        <v>45537</v>
      </c>
      <c r="E425" s="21">
        <v>71255</v>
      </c>
      <c r="F425" t="s">
        <v>19</v>
      </c>
    </row>
    <row r="426" spans="1:6">
      <c r="A426" t="s">
        <v>15</v>
      </c>
      <c r="B426" t="s">
        <v>211</v>
      </c>
      <c r="C426" s="14" t="s">
        <v>1294</v>
      </c>
      <c r="D426" s="17">
        <v>44882</v>
      </c>
      <c r="E426" s="23">
        <v>19796</v>
      </c>
      <c r="F426" t="s">
        <v>19</v>
      </c>
    </row>
    <row r="427" spans="1:6">
      <c r="A427" t="s">
        <v>15</v>
      </c>
      <c r="B427" t="s">
        <v>211</v>
      </c>
      <c r="C427" s="14" t="s">
        <v>1295</v>
      </c>
      <c r="D427" s="17">
        <v>44910</v>
      </c>
      <c r="E427" s="23">
        <v>23375.68</v>
      </c>
      <c r="F427" t="s">
        <v>19</v>
      </c>
    </row>
    <row r="428" spans="1:6">
      <c r="A428" t="s">
        <v>15</v>
      </c>
      <c r="B428" t="s">
        <v>211</v>
      </c>
      <c r="C428" s="14" t="s">
        <v>1296</v>
      </c>
      <c r="D428" s="17">
        <v>44910</v>
      </c>
      <c r="E428" s="23">
        <v>47573</v>
      </c>
      <c r="F428" t="s">
        <v>19</v>
      </c>
    </row>
    <row r="429" spans="1:6">
      <c r="A429" t="s">
        <v>15</v>
      </c>
      <c r="B429" t="s">
        <v>211</v>
      </c>
      <c r="C429" s="14" t="s">
        <v>1297</v>
      </c>
      <c r="D429" s="17">
        <v>44981</v>
      </c>
      <c r="E429" s="23">
        <v>44918</v>
      </c>
      <c r="F429" t="s">
        <v>19</v>
      </c>
    </row>
    <row r="430" spans="1:6">
      <c r="A430" t="s">
        <v>15</v>
      </c>
      <c r="B430" t="s">
        <v>211</v>
      </c>
      <c r="C430" s="14" t="s">
        <v>1298</v>
      </c>
      <c r="D430" s="17">
        <v>45016</v>
      </c>
      <c r="E430" s="23">
        <v>78120</v>
      </c>
      <c r="F430" t="s">
        <v>19</v>
      </c>
    </row>
    <row r="431" spans="1:6">
      <c r="A431" t="s">
        <v>15</v>
      </c>
      <c r="B431" t="s">
        <v>211</v>
      </c>
      <c r="C431" s="14" t="s">
        <v>1299</v>
      </c>
      <c r="D431" s="17">
        <v>45016</v>
      </c>
      <c r="E431" s="23">
        <v>7360</v>
      </c>
      <c r="F431" t="s">
        <v>19</v>
      </c>
    </row>
    <row r="432" spans="1:6">
      <c r="A432" t="s">
        <v>15</v>
      </c>
      <c r="B432" t="s">
        <v>211</v>
      </c>
      <c r="C432" s="14" t="s">
        <v>1300</v>
      </c>
      <c r="D432" s="17">
        <v>45016</v>
      </c>
      <c r="E432" s="23">
        <v>35552</v>
      </c>
      <c r="F432" t="s">
        <v>19</v>
      </c>
    </row>
    <row r="433" spans="1:6">
      <c r="A433" t="s">
        <v>15</v>
      </c>
      <c r="B433" t="s">
        <v>211</v>
      </c>
      <c r="C433" s="14" t="s">
        <v>1301</v>
      </c>
      <c r="D433" s="17">
        <v>45016</v>
      </c>
      <c r="E433" s="23">
        <v>14108</v>
      </c>
      <c r="F433" t="s">
        <v>19</v>
      </c>
    </row>
    <row r="434" spans="1:6">
      <c r="A434" t="s">
        <v>15</v>
      </c>
      <c r="B434" t="s">
        <v>211</v>
      </c>
      <c r="C434" s="14" t="s">
        <v>1302</v>
      </c>
      <c r="D434" s="17">
        <v>45016</v>
      </c>
      <c r="E434" s="23">
        <v>19796</v>
      </c>
      <c r="F434" t="s">
        <v>19</v>
      </c>
    </row>
    <row r="435" spans="1:6">
      <c r="A435" t="s">
        <v>15</v>
      </c>
      <c r="B435" t="s">
        <v>211</v>
      </c>
      <c r="C435" s="14" t="s">
        <v>1303</v>
      </c>
      <c r="D435" s="17">
        <v>45016</v>
      </c>
      <c r="E435" s="23">
        <v>52403</v>
      </c>
      <c r="F435" t="s">
        <v>19</v>
      </c>
    </row>
    <row r="436" spans="1:6">
      <c r="A436" t="s">
        <v>15</v>
      </c>
      <c r="B436" t="s">
        <v>211</v>
      </c>
      <c r="C436" s="14" t="s">
        <v>1304</v>
      </c>
      <c r="D436" s="17">
        <v>45377</v>
      </c>
      <c r="E436" s="23">
        <v>206250</v>
      </c>
      <c r="F436" t="s">
        <v>19</v>
      </c>
    </row>
    <row r="437" spans="1:6">
      <c r="A437" t="s">
        <v>15</v>
      </c>
      <c r="B437" t="s">
        <v>212</v>
      </c>
      <c r="C437" s="7" t="s">
        <v>1305</v>
      </c>
      <c r="D437" s="3">
        <v>43440</v>
      </c>
      <c r="E437" s="21">
        <v>8926</v>
      </c>
      <c r="F437" t="s">
        <v>19</v>
      </c>
    </row>
    <row r="438" spans="1:6">
      <c r="A438" t="s">
        <v>15</v>
      </c>
      <c r="B438" t="s">
        <v>212</v>
      </c>
      <c r="C438" s="7" t="s">
        <v>1306</v>
      </c>
      <c r="D438" s="3">
        <v>43677</v>
      </c>
      <c r="E438" s="21">
        <v>40000</v>
      </c>
      <c r="F438" t="s">
        <v>19</v>
      </c>
    </row>
    <row r="439" spans="1:6">
      <c r="A439" t="s">
        <v>15</v>
      </c>
      <c r="B439" t="s">
        <v>212</v>
      </c>
      <c r="C439" s="14" t="s">
        <v>1307</v>
      </c>
      <c r="D439" s="3">
        <v>45198</v>
      </c>
      <c r="E439" s="21">
        <v>454595</v>
      </c>
      <c r="F439" t="s">
        <v>19</v>
      </c>
    </row>
    <row r="440" spans="1:6">
      <c r="A440" t="s">
        <v>15</v>
      </c>
      <c r="B440" t="s">
        <v>213</v>
      </c>
      <c r="C440" s="7" t="s">
        <v>1308</v>
      </c>
      <c r="D440" s="3">
        <v>44132</v>
      </c>
      <c r="E440" s="21">
        <v>159156.57999999999</v>
      </c>
      <c r="F440" t="s">
        <v>19</v>
      </c>
    </row>
    <row r="441" spans="1:6">
      <c r="A441" t="s">
        <v>15</v>
      </c>
      <c r="B441" t="s">
        <v>213</v>
      </c>
      <c r="C441" s="14" t="s">
        <v>1309</v>
      </c>
      <c r="D441" s="3">
        <v>44291</v>
      </c>
      <c r="E441" s="21">
        <v>23317.05</v>
      </c>
      <c r="F441" t="s">
        <v>19</v>
      </c>
    </row>
    <row r="442" spans="1:6">
      <c r="A442" t="s">
        <v>15</v>
      </c>
      <c r="B442" t="s">
        <v>213</v>
      </c>
      <c r="C442" s="14" t="s">
        <v>1310</v>
      </c>
      <c r="D442" s="3">
        <v>44446</v>
      </c>
      <c r="E442" s="21">
        <v>11695.27</v>
      </c>
      <c r="F442" t="s">
        <v>19</v>
      </c>
    </row>
    <row r="443" spans="1:6">
      <c r="A443" t="s">
        <v>15</v>
      </c>
      <c r="B443" t="s">
        <v>214</v>
      </c>
      <c r="C443" s="14" t="s">
        <v>1311</v>
      </c>
      <c r="D443" s="17">
        <v>45287</v>
      </c>
      <c r="E443" s="23">
        <v>195838</v>
      </c>
      <c r="F443" t="s">
        <v>19</v>
      </c>
    </row>
    <row r="444" spans="1:6">
      <c r="A444" t="s">
        <v>15</v>
      </c>
      <c r="B444" t="s">
        <v>214</v>
      </c>
      <c r="C444" s="14" t="s">
        <v>1312</v>
      </c>
      <c r="D444" s="17">
        <v>45373</v>
      </c>
      <c r="E444" s="23">
        <v>42606</v>
      </c>
      <c r="F444" t="s">
        <v>19</v>
      </c>
    </row>
    <row r="445" spans="1:6">
      <c r="A445" t="s">
        <v>15</v>
      </c>
      <c r="B445" t="s">
        <v>214</v>
      </c>
      <c r="C445" s="14" t="s">
        <v>1313</v>
      </c>
      <c r="D445" s="17">
        <v>45373</v>
      </c>
      <c r="E445" s="23">
        <v>35801.56</v>
      </c>
      <c r="F445" t="s">
        <v>19</v>
      </c>
    </row>
    <row r="446" spans="1:6">
      <c r="A446" t="s">
        <v>15</v>
      </c>
      <c r="B446" t="s">
        <v>214</v>
      </c>
      <c r="C446" s="14" t="s">
        <v>1314</v>
      </c>
      <c r="D446" s="17">
        <v>45397</v>
      </c>
      <c r="E446" s="23">
        <v>12319.6</v>
      </c>
      <c r="F446" t="s">
        <v>19</v>
      </c>
    </row>
    <row r="447" spans="1:6">
      <c r="A447" t="s">
        <v>15</v>
      </c>
      <c r="B447" t="s">
        <v>214</v>
      </c>
      <c r="C447" s="14" t="s">
        <v>1315</v>
      </c>
      <c r="D447" s="17">
        <v>45425</v>
      </c>
      <c r="E447" s="23">
        <v>19227.8</v>
      </c>
      <c r="F447" t="s">
        <v>19</v>
      </c>
    </row>
    <row r="448" spans="1:6">
      <c r="A448" t="s">
        <v>15</v>
      </c>
      <c r="B448" t="s">
        <v>214</v>
      </c>
      <c r="C448" s="14" t="s">
        <v>1316</v>
      </c>
      <c r="D448" s="17">
        <v>45589</v>
      </c>
      <c r="E448" s="23">
        <v>49733</v>
      </c>
      <c r="F448" t="s">
        <v>19</v>
      </c>
    </row>
    <row r="449" spans="1:6">
      <c r="A449" t="s">
        <v>15</v>
      </c>
      <c r="B449" t="s">
        <v>214</v>
      </c>
      <c r="C449" s="14" t="s">
        <v>1317</v>
      </c>
      <c r="D449" s="17">
        <v>45601</v>
      </c>
      <c r="E449" s="23">
        <v>19228</v>
      </c>
      <c r="F449" t="s">
        <v>19</v>
      </c>
    </row>
    <row r="450" spans="1:6">
      <c r="A450" t="s">
        <v>15</v>
      </c>
      <c r="B450" t="s">
        <v>214</v>
      </c>
      <c r="C450" s="14" t="s">
        <v>1318</v>
      </c>
      <c r="D450" s="17">
        <v>45663</v>
      </c>
      <c r="E450" s="23">
        <v>13520</v>
      </c>
      <c r="F450" t="s">
        <v>19</v>
      </c>
    </row>
    <row r="451" spans="1:6">
      <c r="A451" t="s">
        <v>15</v>
      </c>
      <c r="B451" t="s">
        <v>215</v>
      </c>
      <c r="C451" s="14" t="s">
        <v>1319</v>
      </c>
      <c r="D451" s="3">
        <v>44621</v>
      </c>
      <c r="E451" s="21">
        <v>75628</v>
      </c>
      <c r="F451" t="s">
        <v>19</v>
      </c>
    </row>
    <row r="452" spans="1:6">
      <c r="A452" t="s">
        <v>15</v>
      </c>
      <c r="B452" t="s">
        <v>215</v>
      </c>
      <c r="C452" s="14" t="s">
        <v>1320</v>
      </c>
      <c r="D452" s="3">
        <v>45016</v>
      </c>
      <c r="E452" s="21">
        <v>4233</v>
      </c>
      <c r="F452" t="s">
        <v>19</v>
      </c>
    </row>
    <row r="453" spans="1:6">
      <c r="A453" t="s">
        <v>15</v>
      </c>
      <c r="B453" t="s">
        <v>215</v>
      </c>
      <c r="C453" s="14" t="s">
        <v>1321</v>
      </c>
      <c r="D453" s="3">
        <v>45016</v>
      </c>
      <c r="E453" s="21">
        <v>2453</v>
      </c>
      <c r="F453" t="s">
        <v>19</v>
      </c>
    </row>
    <row r="454" spans="1:6">
      <c r="A454" t="s">
        <v>15</v>
      </c>
      <c r="B454" t="s">
        <v>216</v>
      </c>
      <c r="C454" s="14" t="s">
        <v>1322</v>
      </c>
      <c r="D454" s="17">
        <v>44135</v>
      </c>
      <c r="E454" s="23">
        <v>60897.03</v>
      </c>
      <c r="F454" t="s">
        <v>19</v>
      </c>
    </row>
    <row r="455" spans="1:6">
      <c r="A455" t="s">
        <v>15</v>
      </c>
      <c r="B455" t="s">
        <v>216</v>
      </c>
      <c r="C455" s="14" t="s">
        <v>1323</v>
      </c>
      <c r="D455" s="17">
        <v>44291</v>
      </c>
      <c r="E455" s="23">
        <v>19399</v>
      </c>
      <c r="F455" t="s">
        <v>19</v>
      </c>
    </row>
    <row r="456" spans="1:6">
      <c r="A456" t="s">
        <v>15</v>
      </c>
      <c r="B456" t="s">
        <v>216</v>
      </c>
      <c r="C456" s="14" t="s">
        <v>1324</v>
      </c>
      <c r="D456" s="17">
        <v>44621</v>
      </c>
      <c r="E456" s="23">
        <v>40320.129999999997</v>
      </c>
      <c r="F456" t="s">
        <v>19</v>
      </c>
    </row>
    <row r="457" spans="1:6">
      <c r="A457" t="s">
        <v>15</v>
      </c>
      <c r="B457" t="s">
        <v>216</v>
      </c>
      <c r="C457" s="14" t="s">
        <v>1325</v>
      </c>
      <c r="D457" s="17">
        <v>45016</v>
      </c>
      <c r="E457" s="23">
        <v>124985</v>
      </c>
      <c r="F457" t="s">
        <v>19</v>
      </c>
    </row>
    <row r="458" spans="1:6">
      <c r="A458" t="s">
        <v>15</v>
      </c>
      <c r="B458" t="s">
        <v>216</v>
      </c>
      <c r="C458" s="14" t="s">
        <v>1326</v>
      </c>
      <c r="D458" s="17">
        <v>45016</v>
      </c>
      <c r="E458" s="23">
        <v>27580</v>
      </c>
      <c r="F458" t="s">
        <v>19</v>
      </c>
    </row>
    <row r="459" spans="1:6">
      <c r="A459" t="s">
        <v>15</v>
      </c>
      <c r="B459" t="s">
        <v>216</v>
      </c>
      <c r="C459" s="14" t="s">
        <v>1327</v>
      </c>
      <c r="D459" s="17">
        <v>45727</v>
      </c>
      <c r="E459" s="23">
        <v>53100</v>
      </c>
      <c r="F459" t="s">
        <v>19</v>
      </c>
    </row>
    <row r="460" spans="1:6">
      <c r="A460" t="s">
        <v>15</v>
      </c>
      <c r="B460" t="s">
        <v>217</v>
      </c>
      <c r="C460" s="14" t="s">
        <v>1328</v>
      </c>
      <c r="D460" s="17">
        <v>44987</v>
      </c>
      <c r="E460" s="23">
        <v>42375</v>
      </c>
      <c r="F460" t="s">
        <v>19</v>
      </c>
    </row>
    <row r="461" spans="1:6">
      <c r="A461" t="s">
        <v>15</v>
      </c>
      <c r="B461" t="s">
        <v>217</v>
      </c>
      <c r="C461" s="14" t="s">
        <v>1329</v>
      </c>
      <c r="D461" s="17">
        <v>45016</v>
      </c>
      <c r="E461" s="23">
        <v>85325</v>
      </c>
      <c r="F461" t="s">
        <v>19</v>
      </c>
    </row>
    <row r="462" spans="1:6">
      <c r="A462" t="s">
        <v>15</v>
      </c>
      <c r="B462" t="s">
        <v>217</v>
      </c>
      <c r="C462" s="14" t="s">
        <v>1330</v>
      </c>
      <c r="D462" s="17">
        <v>45016</v>
      </c>
      <c r="E462" s="23">
        <v>8280</v>
      </c>
      <c r="F462" t="s">
        <v>19</v>
      </c>
    </row>
    <row r="463" spans="1:6">
      <c r="A463" t="s">
        <v>15</v>
      </c>
      <c r="B463" t="s">
        <v>217</v>
      </c>
      <c r="C463" s="14" t="s">
        <v>1331</v>
      </c>
      <c r="D463" s="17">
        <v>45016</v>
      </c>
      <c r="E463" s="23">
        <v>12450</v>
      </c>
      <c r="F463" t="s">
        <v>19</v>
      </c>
    </row>
    <row r="464" spans="1:6">
      <c r="A464" t="s">
        <v>15</v>
      </c>
      <c r="B464" t="s">
        <v>217</v>
      </c>
      <c r="C464" s="14" t="s">
        <v>1332</v>
      </c>
      <c r="D464" s="17">
        <v>45016</v>
      </c>
      <c r="E464" s="23">
        <v>25155</v>
      </c>
      <c r="F464" t="s">
        <v>19</v>
      </c>
    </row>
    <row r="465" spans="1:6">
      <c r="A465" t="s">
        <v>15</v>
      </c>
      <c r="B465" t="s">
        <v>217</v>
      </c>
      <c r="C465" s="14" t="s">
        <v>1333</v>
      </c>
      <c r="D465" s="17">
        <v>45016</v>
      </c>
      <c r="E465" s="23">
        <v>33042.839999999997</v>
      </c>
      <c r="F465" t="s">
        <v>19</v>
      </c>
    </row>
    <row r="466" spans="1:6">
      <c r="A466" t="s">
        <v>15</v>
      </c>
      <c r="B466" t="s">
        <v>217</v>
      </c>
      <c r="C466" s="14" t="s">
        <v>1334</v>
      </c>
      <c r="D466" s="17">
        <v>45016</v>
      </c>
      <c r="E466" s="23">
        <v>56669</v>
      </c>
      <c r="F466" t="s">
        <v>19</v>
      </c>
    </row>
    <row r="467" spans="1:6">
      <c r="A467" t="s">
        <v>15</v>
      </c>
      <c r="B467" t="s">
        <v>217</v>
      </c>
      <c r="C467" s="14" t="s">
        <v>1335</v>
      </c>
      <c r="D467" s="17">
        <v>45016</v>
      </c>
      <c r="E467" s="23">
        <v>50490</v>
      </c>
      <c r="F467" t="s">
        <v>19</v>
      </c>
    </row>
    <row r="468" spans="1:6">
      <c r="A468" t="s">
        <v>15</v>
      </c>
      <c r="B468" t="s">
        <v>217</v>
      </c>
      <c r="C468" s="14" t="s">
        <v>1336</v>
      </c>
      <c r="D468" s="17">
        <v>45148</v>
      </c>
      <c r="E468" s="23">
        <v>306250</v>
      </c>
      <c r="F468" t="s">
        <v>19</v>
      </c>
    </row>
    <row r="469" spans="1:6">
      <c r="A469" t="s">
        <v>15</v>
      </c>
      <c r="B469" t="s">
        <v>217</v>
      </c>
      <c r="C469" s="14" t="s">
        <v>1337</v>
      </c>
      <c r="D469" s="17">
        <v>45594</v>
      </c>
      <c r="E469" s="23">
        <v>12450</v>
      </c>
      <c r="F469" t="s">
        <v>19</v>
      </c>
    </row>
    <row r="470" spans="1:6">
      <c r="A470" t="s">
        <v>15</v>
      </c>
      <c r="B470" t="s">
        <v>218</v>
      </c>
      <c r="C470" s="16" t="s">
        <v>1338</v>
      </c>
      <c r="D470" s="3">
        <v>44166</v>
      </c>
      <c r="E470" s="21">
        <v>109542</v>
      </c>
      <c r="F470" t="s">
        <v>19</v>
      </c>
    </row>
    <row r="471" spans="1:6">
      <c r="A471" t="s">
        <v>15</v>
      </c>
      <c r="B471" t="s">
        <v>218</v>
      </c>
      <c r="C471" s="16" t="s">
        <v>1339</v>
      </c>
      <c r="D471" s="3">
        <v>44357</v>
      </c>
      <c r="E471" s="21">
        <v>4209.28</v>
      </c>
      <c r="F471" t="s">
        <v>19</v>
      </c>
    </row>
    <row r="472" spans="1:6">
      <c r="A472" t="s">
        <v>15</v>
      </c>
      <c r="B472" t="s">
        <v>218</v>
      </c>
      <c r="C472" s="14" t="s">
        <v>1340</v>
      </c>
      <c r="D472" s="3">
        <v>44372</v>
      </c>
      <c r="E472" s="21">
        <v>3290</v>
      </c>
      <c r="F472" t="s">
        <v>19</v>
      </c>
    </row>
    <row r="473" spans="1:6">
      <c r="A473" t="s">
        <v>15</v>
      </c>
      <c r="B473" t="s">
        <v>218</v>
      </c>
      <c r="C473" s="14" t="s">
        <v>1341</v>
      </c>
      <c r="D473" s="3">
        <v>44621</v>
      </c>
      <c r="E473" s="21">
        <v>14596.15</v>
      </c>
      <c r="F473" t="s">
        <v>19</v>
      </c>
    </row>
    <row r="474" spans="1:6">
      <c r="A474" t="s">
        <v>15</v>
      </c>
      <c r="B474" t="s">
        <v>219</v>
      </c>
      <c r="C474" s="14" t="s">
        <v>1342</v>
      </c>
      <c r="D474" s="17">
        <v>44291</v>
      </c>
      <c r="E474" s="23">
        <v>819.7</v>
      </c>
      <c r="F474" t="s">
        <v>19</v>
      </c>
    </row>
    <row r="475" spans="1:6">
      <c r="A475" t="s">
        <v>15</v>
      </c>
      <c r="B475" t="s">
        <v>219</v>
      </c>
      <c r="C475" s="14" t="s">
        <v>1343</v>
      </c>
      <c r="D475" s="17">
        <v>44377</v>
      </c>
      <c r="E475" s="23">
        <v>11286.66</v>
      </c>
      <c r="F475" t="s">
        <v>19</v>
      </c>
    </row>
    <row r="476" spans="1:6">
      <c r="A476" t="s">
        <v>15</v>
      </c>
      <c r="B476" t="s">
        <v>219</v>
      </c>
      <c r="C476" s="14" t="s">
        <v>1344</v>
      </c>
      <c r="D476" s="17">
        <v>44610</v>
      </c>
      <c r="E476" s="23">
        <v>15311.56</v>
      </c>
      <c r="F476" t="s">
        <v>19</v>
      </c>
    </row>
    <row r="477" spans="1:6">
      <c r="A477" t="s">
        <v>15</v>
      </c>
      <c r="B477" t="s">
        <v>219</v>
      </c>
      <c r="C477" s="14" t="s">
        <v>1345</v>
      </c>
      <c r="D477" s="17">
        <v>44610</v>
      </c>
      <c r="E477" s="23">
        <v>11355.49</v>
      </c>
      <c r="F477" t="s">
        <v>19</v>
      </c>
    </row>
    <row r="478" spans="1:6">
      <c r="A478" t="s">
        <v>15</v>
      </c>
      <c r="B478" t="s">
        <v>219</v>
      </c>
      <c r="C478" s="14" t="s">
        <v>1346</v>
      </c>
      <c r="D478" s="17">
        <v>44916</v>
      </c>
      <c r="E478" s="23">
        <v>1636.61</v>
      </c>
      <c r="F478" t="s">
        <v>19</v>
      </c>
    </row>
    <row r="479" spans="1:6">
      <c r="A479" t="s">
        <v>15</v>
      </c>
      <c r="B479" t="s">
        <v>219</v>
      </c>
      <c r="C479" s="14" t="s">
        <v>1347</v>
      </c>
      <c r="D479" s="17">
        <v>45016</v>
      </c>
      <c r="E479" s="23">
        <v>28787.84</v>
      </c>
      <c r="F479" t="s">
        <v>19</v>
      </c>
    </row>
    <row r="480" spans="1:6">
      <c r="A480" t="s">
        <v>15</v>
      </c>
      <c r="B480" t="s">
        <v>220</v>
      </c>
      <c r="C480" s="14" t="s">
        <v>1348</v>
      </c>
      <c r="D480" s="17">
        <v>44893</v>
      </c>
      <c r="E480" s="23">
        <v>39591</v>
      </c>
      <c r="F480" t="s">
        <v>19</v>
      </c>
    </row>
    <row r="481" spans="1:6">
      <c r="A481" t="s">
        <v>15</v>
      </c>
      <c r="B481" t="s">
        <v>220</v>
      </c>
      <c r="C481" s="14" t="s">
        <v>1349</v>
      </c>
      <c r="D481" s="17">
        <v>44998</v>
      </c>
      <c r="E481" s="23">
        <v>89835</v>
      </c>
      <c r="F481" t="s">
        <v>19</v>
      </c>
    </row>
    <row r="482" spans="1:6">
      <c r="A482" t="s">
        <v>15</v>
      </c>
      <c r="B482" t="s">
        <v>220</v>
      </c>
      <c r="C482" s="14" t="s">
        <v>1350</v>
      </c>
      <c r="D482" s="17">
        <v>45016</v>
      </c>
      <c r="E482" s="23">
        <v>24878</v>
      </c>
      <c r="F482" t="s">
        <v>19</v>
      </c>
    </row>
    <row r="483" spans="1:6">
      <c r="A483" t="s">
        <v>15</v>
      </c>
      <c r="B483" t="s">
        <v>220</v>
      </c>
      <c r="C483" s="14" t="s">
        <v>1351</v>
      </c>
      <c r="D483" s="17">
        <v>45016</v>
      </c>
      <c r="E483" s="23">
        <v>86645</v>
      </c>
      <c r="F483" t="s">
        <v>19</v>
      </c>
    </row>
    <row r="484" spans="1:6">
      <c r="A484" t="s">
        <v>15</v>
      </c>
      <c r="B484" t="s">
        <v>220</v>
      </c>
      <c r="C484" s="14" t="s">
        <v>1352</v>
      </c>
      <c r="D484" s="17">
        <v>45016</v>
      </c>
      <c r="E484" s="23">
        <v>24900</v>
      </c>
      <c r="F484" t="s">
        <v>19</v>
      </c>
    </row>
    <row r="485" spans="1:6">
      <c r="A485" t="s">
        <v>15</v>
      </c>
      <c r="B485" t="s">
        <v>220</v>
      </c>
      <c r="C485" s="14" t="s">
        <v>1353</v>
      </c>
      <c r="D485" s="17">
        <v>45016</v>
      </c>
      <c r="E485" s="23">
        <v>28520</v>
      </c>
      <c r="F485" t="s">
        <v>19</v>
      </c>
    </row>
    <row r="486" spans="1:6">
      <c r="A486" t="s">
        <v>15</v>
      </c>
      <c r="B486" t="s">
        <v>220</v>
      </c>
      <c r="C486" s="14" t="s">
        <v>1354</v>
      </c>
      <c r="D486" s="17">
        <v>45107</v>
      </c>
      <c r="E486" s="23">
        <v>138606</v>
      </c>
      <c r="F486" t="s">
        <v>19</v>
      </c>
    </row>
    <row r="487" spans="1:6">
      <c r="A487" t="s">
        <v>15</v>
      </c>
      <c r="B487" t="s">
        <v>220</v>
      </c>
      <c r="C487" s="14" t="s">
        <v>1355</v>
      </c>
      <c r="D487" s="17">
        <v>45382</v>
      </c>
      <c r="E487" s="23">
        <v>234675</v>
      </c>
      <c r="F487" t="s">
        <v>19</v>
      </c>
    </row>
    <row r="488" spans="1:6">
      <c r="A488" t="s">
        <v>15</v>
      </c>
      <c r="B488" t="s">
        <v>220</v>
      </c>
      <c r="C488" s="14" t="s">
        <v>1356</v>
      </c>
      <c r="D488" s="17">
        <v>45594</v>
      </c>
      <c r="E488" s="23">
        <v>115939.4</v>
      </c>
      <c r="F488" t="s">
        <v>19</v>
      </c>
    </row>
    <row r="489" spans="1:6">
      <c r="A489" t="s">
        <v>15</v>
      </c>
      <c r="B489" t="s">
        <v>220</v>
      </c>
      <c r="C489" s="14" t="s">
        <v>1357</v>
      </c>
      <c r="D489" s="17">
        <v>45594</v>
      </c>
      <c r="E489" s="23">
        <v>37624.400000000001</v>
      </c>
      <c r="F489" t="s">
        <v>19</v>
      </c>
    </row>
    <row r="490" spans="1:6">
      <c r="A490" t="s">
        <v>15</v>
      </c>
      <c r="B490" t="s">
        <v>220</v>
      </c>
      <c r="C490" s="14" t="s">
        <v>1358</v>
      </c>
      <c r="D490" s="17">
        <v>45747</v>
      </c>
      <c r="E490" s="23">
        <v>76859.990000000005</v>
      </c>
      <c r="F490" t="s">
        <v>19</v>
      </c>
    </row>
    <row r="491" spans="1:6">
      <c r="A491" t="s">
        <v>15</v>
      </c>
      <c r="B491" t="s">
        <v>221</v>
      </c>
      <c r="C491" s="14" t="s">
        <v>1359</v>
      </c>
      <c r="D491" s="15">
        <v>44886</v>
      </c>
      <c r="E491" s="23">
        <v>19796</v>
      </c>
      <c r="F491" t="s">
        <v>19</v>
      </c>
    </row>
    <row r="492" spans="1:6">
      <c r="A492" t="s">
        <v>15</v>
      </c>
      <c r="B492" t="s">
        <v>221</v>
      </c>
      <c r="C492" s="14" t="s">
        <v>1360</v>
      </c>
      <c r="D492" s="15">
        <v>44890</v>
      </c>
      <c r="E492" s="23">
        <v>83252</v>
      </c>
      <c r="F492" t="s">
        <v>19</v>
      </c>
    </row>
    <row r="493" spans="1:6">
      <c r="A493" t="s">
        <v>15</v>
      </c>
      <c r="B493" t="s">
        <v>221</v>
      </c>
      <c r="C493" s="14" t="s">
        <v>1361</v>
      </c>
      <c r="D493" s="15">
        <v>44896</v>
      </c>
      <c r="E493" s="23">
        <v>31568</v>
      </c>
      <c r="F493" t="s">
        <v>19</v>
      </c>
    </row>
    <row r="494" spans="1:6">
      <c r="A494" t="s">
        <v>15</v>
      </c>
      <c r="B494" t="s">
        <v>221</v>
      </c>
      <c r="C494" s="14" t="s">
        <v>1362</v>
      </c>
      <c r="D494" s="15">
        <v>45006</v>
      </c>
      <c r="E494" s="23">
        <v>42375</v>
      </c>
      <c r="F494" t="s">
        <v>19</v>
      </c>
    </row>
    <row r="495" spans="1:6">
      <c r="A495" t="s">
        <v>15</v>
      </c>
      <c r="B495" t="s">
        <v>221</v>
      </c>
      <c r="C495" s="14" t="s">
        <v>1363</v>
      </c>
      <c r="D495" s="15">
        <v>45016</v>
      </c>
      <c r="E495" s="23">
        <v>15160</v>
      </c>
      <c r="F495" t="s">
        <v>19</v>
      </c>
    </row>
    <row r="496" spans="1:6">
      <c r="A496" t="s">
        <v>15</v>
      </c>
      <c r="B496" t="s">
        <v>221</v>
      </c>
      <c r="C496" s="14" t="s">
        <v>1364</v>
      </c>
      <c r="D496" s="15">
        <v>45016</v>
      </c>
      <c r="E496" s="23">
        <v>12880</v>
      </c>
      <c r="F496" t="s">
        <v>19</v>
      </c>
    </row>
    <row r="497" spans="1:6">
      <c r="A497" t="s">
        <v>15</v>
      </c>
      <c r="B497" t="s">
        <v>221</v>
      </c>
      <c r="C497" s="14" t="s">
        <v>1365</v>
      </c>
      <c r="D497" s="15">
        <v>45016</v>
      </c>
      <c r="E497" s="23">
        <v>109950</v>
      </c>
      <c r="F497" t="s">
        <v>19</v>
      </c>
    </row>
    <row r="498" spans="1:6">
      <c r="A498" t="s">
        <v>15</v>
      </c>
      <c r="B498" t="s">
        <v>221</v>
      </c>
      <c r="C498" s="14" t="s">
        <v>1366</v>
      </c>
      <c r="D498" s="15">
        <v>45016</v>
      </c>
      <c r="E498" s="23">
        <v>18326</v>
      </c>
      <c r="F498" t="s">
        <v>19</v>
      </c>
    </row>
    <row r="499" spans="1:6">
      <c r="A499" t="s">
        <v>15</v>
      </c>
      <c r="B499" t="s">
        <v>221</v>
      </c>
      <c r="C499" s="14" t="s">
        <v>1367</v>
      </c>
      <c r="D499" s="15">
        <v>45163</v>
      </c>
      <c r="E499" s="23">
        <v>275000</v>
      </c>
      <c r="F499" t="s">
        <v>19</v>
      </c>
    </row>
    <row r="500" spans="1:6">
      <c r="A500" t="s">
        <v>15</v>
      </c>
      <c r="B500" t="s">
        <v>221</v>
      </c>
      <c r="C500" s="14" t="s">
        <v>1368</v>
      </c>
      <c r="D500" s="15">
        <v>45594</v>
      </c>
      <c r="E500" s="23">
        <v>63107</v>
      </c>
      <c r="F500" t="s">
        <v>19</v>
      </c>
    </row>
    <row r="501" spans="1:6">
      <c r="A501" t="s">
        <v>15</v>
      </c>
      <c r="B501" t="s">
        <v>221</v>
      </c>
      <c r="C501" s="14" t="s">
        <v>1369</v>
      </c>
      <c r="D501" s="15">
        <v>45594</v>
      </c>
      <c r="E501" s="23">
        <v>76066</v>
      </c>
      <c r="F501" t="s">
        <v>19</v>
      </c>
    </row>
    <row r="502" spans="1:6">
      <c r="A502" t="s">
        <v>15</v>
      </c>
      <c r="B502" t="s">
        <v>222</v>
      </c>
      <c r="C502" s="14" t="s">
        <v>1370</v>
      </c>
      <c r="D502" s="17">
        <v>45258</v>
      </c>
      <c r="E502" s="23">
        <v>135869.6</v>
      </c>
      <c r="F502" t="s">
        <v>19</v>
      </c>
    </row>
    <row r="503" spans="1:6">
      <c r="A503" t="s">
        <v>15</v>
      </c>
      <c r="B503" t="s">
        <v>222</v>
      </c>
      <c r="C503" s="14" t="s">
        <v>1371</v>
      </c>
      <c r="D503" s="17">
        <v>45328</v>
      </c>
      <c r="E503" s="23">
        <v>8103</v>
      </c>
      <c r="F503" t="s">
        <v>19</v>
      </c>
    </row>
    <row r="504" spans="1:6">
      <c r="A504" t="s">
        <v>15</v>
      </c>
      <c r="B504" t="s">
        <v>222</v>
      </c>
      <c r="C504" s="14" t="s">
        <v>1372</v>
      </c>
      <c r="D504" s="17">
        <v>45328</v>
      </c>
      <c r="E504" s="23">
        <v>11800.3</v>
      </c>
      <c r="F504" t="s">
        <v>19</v>
      </c>
    </row>
    <row r="505" spans="1:6">
      <c r="A505" t="s">
        <v>15</v>
      </c>
      <c r="B505" t="s">
        <v>222</v>
      </c>
      <c r="C505" s="14" t="s">
        <v>1373</v>
      </c>
      <c r="D505" s="17">
        <v>45448</v>
      </c>
      <c r="E505" s="23">
        <v>66780</v>
      </c>
      <c r="F505" t="s">
        <v>19</v>
      </c>
    </row>
    <row r="506" spans="1:6">
      <c r="A506" t="s">
        <v>15</v>
      </c>
      <c r="B506" t="s">
        <v>222</v>
      </c>
      <c r="C506" s="14" t="s">
        <v>1374</v>
      </c>
      <c r="D506" s="17">
        <v>45448</v>
      </c>
      <c r="E506" s="23">
        <v>42000</v>
      </c>
      <c r="F506" t="s">
        <v>19</v>
      </c>
    </row>
    <row r="507" spans="1:6">
      <c r="A507" t="s">
        <v>15</v>
      </c>
      <c r="B507" t="s">
        <v>222</v>
      </c>
      <c r="C507" s="14" t="s">
        <v>1375</v>
      </c>
      <c r="D507" s="17">
        <v>45448</v>
      </c>
      <c r="E507" s="23">
        <v>62010</v>
      </c>
      <c r="F507" t="s">
        <v>19</v>
      </c>
    </row>
    <row r="508" spans="1:6">
      <c r="A508" t="s">
        <v>15</v>
      </c>
      <c r="B508" t="s">
        <v>222</v>
      </c>
      <c r="C508" s="14" t="s">
        <v>1376</v>
      </c>
      <c r="D508" s="17">
        <v>45453</v>
      </c>
      <c r="E508" s="23">
        <v>30766.5</v>
      </c>
      <c r="F508" t="s">
        <v>19</v>
      </c>
    </row>
    <row r="509" spans="1:6">
      <c r="A509" t="s">
        <v>15</v>
      </c>
      <c r="B509" t="s">
        <v>222</v>
      </c>
      <c r="C509" s="14" t="s">
        <v>1377</v>
      </c>
      <c r="D509" s="17">
        <v>45453</v>
      </c>
      <c r="E509" s="23">
        <v>39909</v>
      </c>
      <c r="F509" t="s">
        <v>19</v>
      </c>
    </row>
    <row r="510" spans="1:6">
      <c r="A510" t="s">
        <v>15</v>
      </c>
      <c r="B510" t="s">
        <v>222</v>
      </c>
      <c r="C510" s="14" t="s">
        <v>1378</v>
      </c>
      <c r="D510" s="17">
        <v>45554</v>
      </c>
      <c r="E510" s="23">
        <v>79614.600000000006</v>
      </c>
      <c r="F510" t="s">
        <v>19</v>
      </c>
    </row>
    <row r="511" spans="1:6">
      <c r="A511" t="s">
        <v>15</v>
      </c>
      <c r="B511" t="s">
        <v>223</v>
      </c>
      <c r="C511" s="7" t="s">
        <v>1379</v>
      </c>
      <c r="D511" s="3">
        <v>45342</v>
      </c>
      <c r="E511" s="21">
        <v>148090</v>
      </c>
      <c r="F511" t="s">
        <v>19</v>
      </c>
    </row>
    <row r="512" spans="1:6">
      <c r="A512" t="s">
        <v>15</v>
      </c>
      <c r="B512" t="s">
        <v>224</v>
      </c>
      <c r="C512" s="7" t="s">
        <v>1380</v>
      </c>
      <c r="D512" s="3">
        <v>45289</v>
      </c>
      <c r="E512" s="21">
        <v>1313</v>
      </c>
      <c r="F512" t="s">
        <v>19</v>
      </c>
    </row>
    <row r="513" spans="1:6">
      <c r="A513" t="s">
        <v>15</v>
      </c>
      <c r="B513" t="s">
        <v>225</v>
      </c>
      <c r="C513" s="16" t="s">
        <v>1381</v>
      </c>
      <c r="D513" s="3">
        <v>44166</v>
      </c>
      <c r="E513" s="21">
        <f>68622.87+0.64</f>
        <v>68623.509999999995</v>
      </c>
      <c r="F513" t="s">
        <v>19</v>
      </c>
    </row>
    <row r="514" spans="1:6">
      <c r="A514" t="s">
        <v>15</v>
      </c>
      <c r="B514" t="s">
        <v>225</v>
      </c>
      <c r="C514" s="7" t="s">
        <v>1382</v>
      </c>
      <c r="D514" s="3">
        <v>44372</v>
      </c>
      <c r="E514" s="21">
        <v>7128.49</v>
      </c>
      <c r="F514" t="s">
        <v>19</v>
      </c>
    </row>
    <row r="515" spans="1:6">
      <c r="A515" t="s">
        <v>15</v>
      </c>
      <c r="B515" t="s">
        <v>226</v>
      </c>
      <c r="C515" s="7" t="s">
        <v>1383</v>
      </c>
      <c r="D515" s="3">
        <v>45594</v>
      </c>
      <c r="E515" s="21">
        <v>18951</v>
      </c>
      <c r="F515" t="s">
        <v>19</v>
      </c>
    </row>
    <row r="516" spans="1:6">
      <c r="A516" t="s">
        <v>15</v>
      </c>
      <c r="B516" t="s">
        <v>227</v>
      </c>
      <c r="C516" s="14" t="s">
        <v>1384</v>
      </c>
      <c r="D516" s="17">
        <v>44887</v>
      </c>
      <c r="E516" s="23">
        <v>12450</v>
      </c>
      <c r="F516" t="s">
        <v>19</v>
      </c>
    </row>
    <row r="517" spans="1:6">
      <c r="A517" t="s">
        <v>15</v>
      </c>
      <c r="B517" t="s">
        <v>227</v>
      </c>
      <c r="C517" s="14" t="s">
        <v>1385</v>
      </c>
      <c r="D517" s="17">
        <v>44887</v>
      </c>
      <c r="E517" s="23">
        <v>16974.8</v>
      </c>
      <c r="F517" t="s">
        <v>19</v>
      </c>
    </row>
    <row r="518" spans="1:6">
      <c r="A518" t="s">
        <v>15</v>
      </c>
      <c r="B518" t="s">
        <v>227</v>
      </c>
      <c r="C518" s="14" t="s">
        <v>1386</v>
      </c>
      <c r="D518" s="17">
        <v>44995</v>
      </c>
      <c r="E518" s="23">
        <v>42375</v>
      </c>
      <c r="F518" t="s">
        <v>19</v>
      </c>
    </row>
    <row r="519" spans="1:6">
      <c r="A519" t="s">
        <v>15</v>
      </c>
      <c r="B519" t="s">
        <v>227</v>
      </c>
      <c r="C519" s="14" t="s">
        <v>1387</v>
      </c>
      <c r="D519" s="17">
        <v>45016</v>
      </c>
      <c r="E519" s="23">
        <v>62837</v>
      </c>
      <c r="F519" t="s">
        <v>19</v>
      </c>
    </row>
    <row r="520" spans="1:6">
      <c r="A520" t="s">
        <v>15</v>
      </c>
      <c r="B520" t="s">
        <v>227</v>
      </c>
      <c r="C520" s="14" t="s">
        <v>1388</v>
      </c>
      <c r="D520" s="17">
        <v>45016</v>
      </c>
      <c r="E520" s="23">
        <v>12450</v>
      </c>
      <c r="F520" t="s">
        <v>19</v>
      </c>
    </row>
    <row r="521" spans="1:6">
      <c r="A521" t="s">
        <v>15</v>
      </c>
      <c r="B521" t="s">
        <v>227</v>
      </c>
      <c r="C521" s="14" t="s">
        <v>1389</v>
      </c>
      <c r="D521" s="17">
        <v>45016</v>
      </c>
      <c r="E521" s="23">
        <v>36335</v>
      </c>
      <c r="F521" t="s">
        <v>19</v>
      </c>
    </row>
    <row r="522" spans="1:6">
      <c r="A522" t="s">
        <v>15</v>
      </c>
      <c r="B522" t="s">
        <v>227</v>
      </c>
      <c r="C522" s="14" t="s">
        <v>1390</v>
      </c>
      <c r="D522" s="17">
        <v>45016</v>
      </c>
      <c r="E522" s="23">
        <v>10640</v>
      </c>
      <c r="F522" t="s">
        <v>19</v>
      </c>
    </row>
    <row r="523" spans="1:6">
      <c r="A523" t="s">
        <v>15</v>
      </c>
      <c r="B523" t="s">
        <v>227</v>
      </c>
      <c r="C523" s="14" t="s">
        <v>1391</v>
      </c>
      <c r="D523" s="17">
        <v>45016</v>
      </c>
      <c r="E523" s="23">
        <v>210050</v>
      </c>
      <c r="F523" t="s">
        <v>19</v>
      </c>
    </row>
    <row r="524" spans="1:6">
      <c r="A524" t="s">
        <v>15</v>
      </c>
      <c r="B524" t="s">
        <v>227</v>
      </c>
      <c r="C524" s="14" t="s">
        <v>1392</v>
      </c>
      <c r="D524" s="17">
        <v>45016</v>
      </c>
      <c r="E524" s="23">
        <v>48620</v>
      </c>
      <c r="F524" t="s">
        <v>19</v>
      </c>
    </row>
    <row r="525" spans="1:6">
      <c r="A525" t="s">
        <v>15</v>
      </c>
      <c r="B525" t="s">
        <v>227</v>
      </c>
      <c r="C525" s="14" t="s">
        <v>1393</v>
      </c>
      <c r="D525" s="17">
        <v>45569</v>
      </c>
      <c r="E525" s="23">
        <v>252500</v>
      </c>
      <c r="F525" t="s">
        <v>19</v>
      </c>
    </row>
    <row r="526" spans="1:6">
      <c r="A526" t="s">
        <v>15</v>
      </c>
      <c r="B526" t="s">
        <v>228</v>
      </c>
      <c r="C526" s="16" t="s">
        <v>1394</v>
      </c>
      <c r="D526" s="3">
        <v>44131</v>
      </c>
      <c r="E526" s="21">
        <v>109309.75</v>
      </c>
      <c r="F526" t="s">
        <v>19</v>
      </c>
    </row>
    <row r="527" spans="1:6">
      <c r="A527" t="s">
        <v>15</v>
      </c>
      <c r="B527" t="s">
        <v>228</v>
      </c>
      <c r="C527" s="16" t="s">
        <v>1395</v>
      </c>
      <c r="D527" s="3">
        <v>44286</v>
      </c>
      <c r="E527" s="21">
        <v>11084.94</v>
      </c>
      <c r="F527" t="s">
        <v>19</v>
      </c>
    </row>
    <row r="528" spans="1:6">
      <c r="A528" t="s">
        <v>15</v>
      </c>
      <c r="B528" t="s">
        <v>228</v>
      </c>
      <c r="C528" s="7" t="s">
        <v>1396</v>
      </c>
      <c r="D528" s="3">
        <v>45016</v>
      </c>
      <c r="E528" s="21">
        <v>5204</v>
      </c>
      <c r="F528" t="s">
        <v>19</v>
      </c>
    </row>
    <row r="529" spans="1:6">
      <c r="A529" t="s">
        <v>15</v>
      </c>
      <c r="B529" t="s">
        <v>229</v>
      </c>
      <c r="C529" s="7" t="s">
        <v>1397</v>
      </c>
      <c r="D529" s="3">
        <v>44886</v>
      </c>
      <c r="E529" s="21">
        <v>19796</v>
      </c>
      <c r="F529" t="s">
        <v>19</v>
      </c>
    </row>
    <row r="530" spans="1:6">
      <c r="A530" t="s">
        <v>15</v>
      </c>
      <c r="B530" t="s">
        <v>229</v>
      </c>
      <c r="C530" s="7" t="s">
        <v>1398</v>
      </c>
      <c r="D530" s="3">
        <v>44887</v>
      </c>
      <c r="E530" s="21">
        <v>19330</v>
      </c>
      <c r="F530" t="s">
        <v>19</v>
      </c>
    </row>
    <row r="531" spans="1:6">
      <c r="A531" t="s">
        <v>15</v>
      </c>
      <c r="B531" t="s">
        <v>229</v>
      </c>
      <c r="C531" s="7" t="s">
        <v>1399</v>
      </c>
      <c r="D531" s="3">
        <v>44914</v>
      </c>
      <c r="E531" s="21">
        <v>53519</v>
      </c>
      <c r="F531" t="s">
        <v>19</v>
      </c>
    </row>
    <row r="532" spans="1:6">
      <c r="A532" t="s">
        <v>15</v>
      </c>
      <c r="B532" t="s">
        <v>229</v>
      </c>
      <c r="C532" s="7" t="s">
        <v>1400</v>
      </c>
      <c r="D532" s="3">
        <v>44995</v>
      </c>
      <c r="E532" s="21">
        <v>42375</v>
      </c>
      <c r="F532" t="s">
        <v>19</v>
      </c>
    </row>
    <row r="533" spans="1:6">
      <c r="A533" t="s">
        <v>15</v>
      </c>
      <c r="B533" t="s">
        <v>229</v>
      </c>
      <c r="C533" s="7" t="s">
        <v>1401</v>
      </c>
      <c r="D533" s="3">
        <v>45016</v>
      </c>
      <c r="E533" s="21">
        <v>12450</v>
      </c>
      <c r="F533" t="s">
        <v>19</v>
      </c>
    </row>
    <row r="534" spans="1:6">
      <c r="A534" t="s">
        <v>15</v>
      </c>
      <c r="B534" t="s">
        <v>229</v>
      </c>
      <c r="C534" s="7" t="s">
        <v>1402</v>
      </c>
      <c r="D534" s="3">
        <v>45016</v>
      </c>
      <c r="E534" s="21">
        <f>2484+17747</f>
        <v>20231</v>
      </c>
      <c r="F534" t="s">
        <v>19</v>
      </c>
    </row>
    <row r="535" spans="1:6">
      <c r="A535" t="s">
        <v>15</v>
      </c>
      <c r="B535" t="s">
        <v>229</v>
      </c>
      <c r="C535" s="7" t="s">
        <v>1403</v>
      </c>
      <c r="D535" s="3">
        <v>45016</v>
      </c>
      <c r="E535" s="21">
        <v>85325</v>
      </c>
      <c r="F535" t="s">
        <v>19</v>
      </c>
    </row>
    <row r="536" spans="1:6">
      <c r="A536" t="s">
        <v>15</v>
      </c>
      <c r="B536" t="s">
        <v>229</v>
      </c>
      <c r="C536" s="7" t="s">
        <v>1404</v>
      </c>
      <c r="D536" s="3">
        <v>45016</v>
      </c>
      <c r="E536" s="21">
        <v>25155</v>
      </c>
      <c r="F536" t="s">
        <v>19</v>
      </c>
    </row>
    <row r="537" spans="1:6">
      <c r="A537" t="s">
        <v>15</v>
      </c>
      <c r="B537" t="s">
        <v>229</v>
      </c>
      <c r="C537" s="7" t="s">
        <v>1405</v>
      </c>
      <c r="D537" s="3">
        <v>45016</v>
      </c>
      <c r="E537" s="21">
        <v>40712</v>
      </c>
      <c r="F537" t="s">
        <v>19</v>
      </c>
    </row>
    <row r="538" spans="1:6">
      <c r="A538" t="s">
        <v>15</v>
      </c>
      <c r="B538" t="s">
        <v>229</v>
      </c>
      <c r="C538" s="7" t="s">
        <v>1406</v>
      </c>
      <c r="D538" s="3">
        <v>45308</v>
      </c>
      <c r="E538" s="21">
        <v>201250</v>
      </c>
      <c r="F538" t="s">
        <v>19</v>
      </c>
    </row>
    <row r="539" spans="1:6">
      <c r="A539" t="s">
        <v>15</v>
      </c>
      <c r="B539" t="s">
        <v>229</v>
      </c>
      <c r="C539" s="7" t="s">
        <v>1407</v>
      </c>
      <c r="D539" s="3">
        <v>45594</v>
      </c>
      <c r="E539" s="21">
        <v>10340</v>
      </c>
      <c r="F539" t="s">
        <v>19</v>
      </c>
    </row>
    <row r="540" spans="1:6">
      <c r="A540" t="s">
        <v>15</v>
      </c>
      <c r="B540" t="s">
        <v>230</v>
      </c>
      <c r="C540" s="7" t="s">
        <v>1408</v>
      </c>
      <c r="D540" s="3">
        <v>44740</v>
      </c>
      <c r="E540" s="21">
        <v>16350</v>
      </c>
      <c r="F540" t="s">
        <v>19</v>
      </c>
    </row>
    <row r="541" spans="1:6">
      <c r="A541" t="s">
        <v>15</v>
      </c>
      <c r="B541" t="s">
        <v>230</v>
      </c>
      <c r="C541" s="7" t="s">
        <v>1409</v>
      </c>
      <c r="D541" s="3">
        <v>45734</v>
      </c>
      <c r="E541" s="21">
        <v>77000</v>
      </c>
      <c r="F541" t="s">
        <v>19</v>
      </c>
    </row>
    <row r="542" spans="1:6">
      <c r="A542" t="s">
        <v>15</v>
      </c>
      <c r="B542" t="s">
        <v>231</v>
      </c>
      <c r="C542" s="7" t="s">
        <v>1410</v>
      </c>
      <c r="D542" s="3">
        <v>45383</v>
      </c>
      <c r="E542" s="21">
        <v>8250</v>
      </c>
      <c r="F542" t="s">
        <v>19</v>
      </c>
    </row>
    <row r="543" spans="1:6">
      <c r="A543" t="s">
        <v>15</v>
      </c>
      <c r="B543" t="s">
        <v>231</v>
      </c>
      <c r="C543" s="7" t="s">
        <v>1411</v>
      </c>
      <c r="D543" s="3">
        <v>45383</v>
      </c>
      <c r="E543" s="21">
        <v>8250</v>
      </c>
      <c r="F543" t="s">
        <v>19</v>
      </c>
    </row>
    <row r="544" spans="1:6">
      <c r="A544" t="s">
        <v>15</v>
      </c>
      <c r="B544" t="s">
        <v>232</v>
      </c>
      <c r="C544" s="14" t="s">
        <v>1412</v>
      </c>
      <c r="D544" s="17">
        <v>45405</v>
      </c>
      <c r="E544" s="23">
        <v>45000</v>
      </c>
      <c r="F544" t="s">
        <v>19</v>
      </c>
    </row>
    <row r="545" spans="1:6">
      <c r="A545" t="s">
        <v>15</v>
      </c>
      <c r="B545" t="s">
        <v>232</v>
      </c>
      <c r="C545" s="14" t="s">
        <v>1413</v>
      </c>
      <c r="D545" s="17">
        <v>45594</v>
      </c>
      <c r="E545" s="23">
        <v>92007</v>
      </c>
      <c r="F545" t="s">
        <v>19</v>
      </c>
    </row>
    <row r="546" spans="1:6">
      <c r="A546" t="s">
        <v>15</v>
      </c>
      <c r="B546" t="s">
        <v>232</v>
      </c>
      <c r="C546" s="14" t="s">
        <v>1414</v>
      </c>
      <c r="D546" s="17">
        <v>45594</v>
      </c>
      <c r="E546" s="23">
        <v>24380.799999999999</v>
      </c>
      <c r="F546" t="s">
        <v>19</v>
      </c>
    </row>
    <row r="547" spans="1:6">
      <c r="A547" t="s">
        <v>15</v>
      </c>
      <c r="B547" t="s">
        <v>232</v>
      </c>
      <c r="C547" s="14" t="s">
        <v>1415</v>
      </c>
      <c r="D547" s="17">
        <v>45594</v>
      </c>
      <c r="E547" s="23">
        <v>9200</v>
      </c>
      <c r="F547" t="s">
        <v>19</v>
      </c>
    </row>
    <row r="548" spans="1:6">
      <c r="A548" t="s">
        <v>15</v>
      </c>
      <c r="B548" t="s">
        <v>232</v>
      </c>
      <c r="C548" s="14" t="s">
        <v>1416</v>
      </c>
      <c r="D548" s="17">
        <v>45594</v>
      </c>
      <c r="E548" s="23">
        <v>11567</v>
      </c>
      <c r="F548" t="s">
        <v>19</v>
      </c>
    </row>
    <row r="549" spans="1:6">
      <c r="A549" t="s">
        <v>15</v>
      </c>
      <c r="B549" t="s">
        <v>232</v>
      </c>
      <c r="C549" s="14" t="s">
        <v>1417</v>
      </c>
      <c r="D549" s="17">
        <v>45594</v>
      </c>
      <c r="E549" s="23">
        <v>10256</v>
      </c>
      <c r="F549" t="s">
        <v>19</v>
      </c>
    </row>
    <row r="550" spans="1:6">
      <c r="A550" t="s">
        <v>15</v>
      </c>
      <c r="B550" t="s">
        <v>232</v>
      </c>
      <c r="C550" s="14" t="s">
        <v>1418</v>
      </c>
      <c r="D550" s="17">
        <v>45594</v>
      </c>
      <c r="E550" s="23">
        <v>19796</v>
      </c>
      <c r="F550" t="s">
        <v>19</v>
      </c>
    </row>
    <row r="551" spans="1:6">
      <c r="A551" t="s">
        <v>15</v>
      </c>
      <c r="B551" t="s">
        <v>232</v>
      </c>
      <c r="C551" s="14" t="s">
        <v>1419</v>
      </c>
      <c r="D551" s="17">
        <v>45594</v>
      </c>
      <c r="E551" s="23">
        <v>59530</v>
      </c>
      <c r="F551" t="s">
        <v>19</v>
      </c>
    </row>
    <row r="552" spans="1:6">
      <c r="A552" t="s">
        <v>15</v>
      </c>
      <c r="B552" t="s">
        <v>232</v>
      </c>
      <c r="C552" s="14" t="s">
        <v>1420</v>
      </c>
      <c r="D552" s="17">
        <v>45594</v>
      </c>
      <c r="E552" s="23">
        <v>19796</v>
      </c>
      <c r="F552" t="s">
        <v>19</v>
      </c>
    </row>
    <row r="553" spans="1:6">
      <c r="A553" t="s">
        <v>15</v>
      </c>
      <c r="B553" t="s">
        <v>232</v>
      </c>
      <c r="C553" s="14" t="s">
        <v>1421</v>
      </c>
      <c r="D553" s="17">
        <v>45594</v>
      </c>
      <c r="E553" s="23">
        <v>59466</v>
      </c>
      <c r="F553" t="s">
        <v>19</v>
      </c>
    </row>
    <row r="554" spans="1:6">
      <c r="A554" t="s">
        <v>15</v>
      </c>
      <c r="B554" t="s">
        <v>232</v>
      </c>
      <c r="C554" s="14" t="s">
        <v>1422</v>
      </c>
      <c r="D554" s="17">
        <v>45594</v>
      </c>
      <c r="E554" s="23">
        <v>42375</v>
      </c>
      <c r="F554" t="s">
        <v>19</v>
      </c>
    </row>
    <row r="555" spans="1:6">
      <c r="A555" t="s">
        <v>15</v>
      </c>
      <c r="B555" t="s">
        <v>233</v>
      </c>
      <c r="C555" s="14" t="s">
        <v>1423</v>
      </c>
      <c r="D555" s="3">
        <v>44909</v>
      </c>
      <c r="E555" s="21">
        <v>100851.43</v>
      </c>
      <c r="F555" t="s">
        <v>19</v>
      </c>
    </row>
    <row r="556" spans="1:6">
      <c r="A556" t="s">
        <v>15</v>
      </c>
      <c r="B556" t="s">
        <v>233</v>
      </c>
      <c r="C556" s="14" t="s">
        <v>1424</v>
      </c>
      <c r="D556" s="3">
        <v>45016</v>
      </c>
      <c r="E556" s="21">
        <v>67520</v>
      </c>
      <c r="F556" t="s">
        <v>19</v>
      </c>
    </row>
    <row r="557" spans="1:6">
      <c r="A557" t="s">
        <v>15</v>
      </c>
      <c r="B557" t="s">
        <v>233</v>
      </c>
      <c r="C557" s="14" t="s">
        <v>1425</v>
      </c>
      <c r="D557" s="3">
        <v>45016</v>
      </c>
      <c r="E557" s="21">
        <v>137001</v>
      </c>
      <c r="F557" t="s">
        <v>19</v>
      </c>
    </row>
    <row r="558" spans="1:6">
      <c r="A558" t="s">
        <v>15</v>
      </c>
      <c r="B558" t="s">
        <v>233</v>
      </c>
      <c r="C558" s="14" t="s">
        <v>1426</v>
      </c>
      <c r="D558" s="3">
        <v>45071</v>
      </c>
      <c r="E558" s="21">
        <v>136092.69</v>
      </c>
      <c r="F558" t="s">
        <v>19</v>
      </c>
    </row>
    <row r="559" spans="1:6">
      <c r="A559" t="s">
        <v>15</v>
      </c>
      <c r="B559" t="s">
        <v>233</v>
      </c>
      <c r="C559" s="14" t="s">
        <v>1427</v>
      </c>
      <c r="D559" s="3">
        <v>45105</v>
      </c>
      <c r="E559" s="21">
        <v>7463.25</v>
      </c>
      <c r="F559" t="s">
        <v>19</v>
      </c>
    </row>
    <row r="560" spans="1:6">
      <c r="A560" t="s">
        <v>15</v>
      </c>
      <c r="B560" t="s">
        <v>234</v>
      </c>
      <c r="C560" s="16" t="s">
        <v>1428</v>
      </c>
      <c r="D560" s="3">
        <v>42810</v>
      </c>
      <c r="E560" s="21">
        <v>13479.08</v>
      </c>
      <c r="F560" t="s">
        <v>19</v>
      </c>
    </row>
    <row r="561" spans="1:6">
      <c r="A561" t="s">
        <v>15</v>
      </c>
      <c r="B561" t="s">
        <v>235</v>
      </c>
      <c r="C561" s="14" t="s">
        <v>1429</v>
      </c>
      <c r="D561" s="17">
        <v>44907</v>
      </c>
      <c r="E561" s="23">
        <v>1500</v>
      </c>
      <c r="F561" t="s">
        <v>19</v>
      </c>
    </row>
    <row r="562" spans="1:6">
      <c r="A562" t="s">
        <v>15</v>
      </c>
      <c r="B562" t="s">
        <v>235</v>
      </c>
      <c r="C562" s="14" t="s">
        <v>1430</v>
      </c>
      <c r="D562" s="17">
        <v>45009</v>
      </c>
      <c r="E562" s="23">
        <v>1500</v>
      </c>
      <c r="F562" t="s">
        <v>19</v>
      </c>
    </row>
    <row r="563" spans="1:6">
      <c r="A563" t="s">
        <v>15</v>
      </c>
      <c r="B563" t="s">
        <v>235</v>
      </c>
      <c r="C563" s="14" t="s">
        <v>1431</v>
      </c>
      <c r="D563" s="17">
        <v>45085</v>
      </c>
      <c r="E563" s="23">
        <v>1500</v>
      </c>
      <c r="F563" t="s">
        <v>19</v>
      </c>
    </row>
    <row r="564" spans="1:6">
      <c r="A564" t="s">
        <v>15</v>
      </c>
      <c r="B564" t="s">
        <v>235</v>
      </c>
      <c r="C564" s="14" t="s">
        <v>1432</v>
      </c>
      <c r="D564" s="17">
        <v>45141</v>
      </c>
      <c r="E564" s="23">
        <v>1500</v>
      </c>
      <c r="F564" t="s">
        <v>19</v>
      </c>
    </row>
    <row r="565" spans="1:6">
      <c r="A565" t="s">
        <v>15</v>
      </c>
      <c r="B565" t="s">
        <v>235</v>
      </c>
      <c r="C565" s="14" t="s">
        <v>1433</v>
      </c>
      <c r="D565" s="17">
        <v>45287</v>
      </c>
      <c r="E565" s="23">
        <v>3000</v>
      </c>
      <c r="F565" t="s">
        <v>19</v>
      </c>
    </row>
    <row r="566" spans="1:6">
      <c r="A566" t="s">
        <v>15</v>
      </c>
      <c r="B566" t="s">
        <v>235</v>
      </c>
      <c r="C566" s="14" t="s">
        <v>1434</v>
      </c>
      <c r="D566" s="17">
        <v>45454</v>
      </c>
      <c r="E566" s="23">
        <v>1770</v>
      </c>
      <c r="F566" t="s">
        <v>19</v>
      </c>
    </row>
    <row r="567" spans="1:6">
      <c r="A567" t="s">
        <v>15</v>
      </c>
      <c r="B567" t="s">
        <v>235</v>
      </c>
      <c r="C567" s="14" t="s">
        <v>1435</v>
      </c>
      <c r="D567" s="17">
        <v>45538</v>
      </c>
      <c r="E567" s="23">
        <v>1770</v>
      </c>
      <c r="F567" t="s">
        <v>19</v>
      </c>
    </row>
    <row r="568" spans="1:6">
      <c r="A568" t="s">
        <v>15</v>
      </c>
      <c r="B568" t="s">
        <v>235</v>
      </c>
      <c r="C568" s="14" t="s">
        <v>1436</v>
      </c>
      <c r="D568" s="17">
        <v>45642</v>
      </c>
      <c r="E568" s="23">
        <v>1500</v>
      </c>
      <c r="F568" t="s">
        <v>19</v>
      </c>
    </row>
    <row r="569" spans="1:6">
      <c r="A569" t="s">
        <v>15</v>
      </c>
      <c r="B569" t="s">
        <v>235</v>
      </c>
      <c r="C569" s="14" t="s">
        <v>1437</v>
      </c>
      <c r="D569" s="17">
        <v>45709</v>
      </c>
      <c r="E569" s="23">
        <v>1500</v>
      </c>
      <c r="F569" t="s">
        <v>19</v>
      </c>
    </row>
    <row r="570" spans="1:6">
      <c r="A570" t="s">
        <v>15</v>
      </c>
      <c r="B570" t="s">
        <v>236</v>
      </c>
      <c r="C570" s="14" t="s">
        <v>1438</v>
      </c>
      <c r="D570" s="17">
        <v>45287</v>
      </c>
      <c r="E570" s="23">
        <v>321557.89</v>
      </c>
      <c r="F570" t="s">
        <v>19</v>
      </c>
    </row>
    <row r="571" spans="1:6">
      <c r="A571" t="s">
        <v>15</v>
      </c>
      <c r="B571" t="s">
        <v>236</v>
      </c>
      <c r="C571" s="14" t="s">
        <v>1439</v>
      </c>
      <c r="D571" s="17">
        <v>45337</v>
      </c>
      <c r="E571" s="23">
        <v>83190</v>
      </c>
      <c r="F571" t="s">
        <v>19</v>
      </c>
    </row>
    <row r="572" spans="1:6">
      <c r="A572" t="s">
        <v>15</v>
      </c>
      <c r="B572" t="s">
        <v>236</v>
      </c>
      <c r="C572" s="14" t="s">
        <v>1440</v>
      </c>
      <c r="D572" s="17">
        <v>45338</v>
      </c>
      <c r="E572" s="23">
        <v>46363.72</v>
      </c>
      <c r="F572" t="s">
        <v>19</v>
      </c>
    </row>
    <row r="573" spans="1:6">
      <c r="A573" t="s">
        <v>15</v>
      </c>
      <c r="B573" t="s">
        <v>236</v>
      </c>
      <c r="C573" s="14" t="s">
        <v>1441</v>
      </c>
      <c r="D573" s="17">
        <v>45394</v>
      </c>
      <c r="E573" s="23">
        <v>24921.200000000001</v>
      </c>
      <c r="F573" t="s">
        <v>19</v>
      </c>
    </row>
    <row r="574" spans="1:6">
      <c r="A574" t="s">
        <v>15</v>
      </c>
      <c r="B574" t="s">
        <v>236</v>
      </c>
      <c r="C574" s="14" t="s">
        <v>1442</v>
      </c>
      <c r="D574" s="17">
        <v>45415</v>
      </c>
      <c r="E574" s="23">
        <v>53873.38</v>
      </c>
      <c r="F574" t="s">
        <v>19</v>
      </c>
    </row>
    <row r="575" spans="1:6">
      <c r="A575" t="s">
        <v>15</v>
      </c>
      <c r="B575" t="s">
        <v>236</v>
      </c>
      <c r="C575" s="14" t="s">
        <v>1443</v>
      </c>
      <c r="D575" s="17">
        <v>45592</v>
      </c>
      <c r="E575" s="23">
        <v>53873</v>
      </c>
      <c r="F575" t="s">
        <v>19</v>
      </c>
    </row>
    <row r="576" spans="1:6">
      <c r="A576" t="s">
        <v>15</v>
      </c>
      <c r="B576" t="s">
        <v>236</v>
      </c>
      <c r="C576" s="14" t="s">
        <v>1444</v>
      </c>
      <c r="D576" s="17">
        <v>45609</v>
      </c>
      <c r="E576" s="23">
        <v>141372.07</v>
      </c>
      <c r="F576" t="s">
        <v>19</v>
      </c>
    </row>
    <row r="577" spans="1:6">
      <c r="A577" t="s">
        <v>15</v>
      </c>
      <c r="B577" t="s">
        <v>237</v>
      </c>
      <c r="C577" s="14" t="s">
        <v>1445</v>
      </c>
      <c r="D577" s="3">
        <v>45272</v>
      </c>
      <c r="E577" s="21">
        <v>1312.5</v>
      </c>
      <c r="F577" t="s">
        <v>19</v>
      </c>
    </row>
    <row r="578" spans="1:6">
      <c r="A578" t="s">
        <v>15</v>
      </c>
      <c r="B578" t="s">
        <v>238</v>
      </c>
      <c r="C578" s="7">
        <v>9</v>
      </c>
      <c r="D578" s="3">
        <v>45747</v>
      </c>
      <c r="E578" s="21">
        <v>695</v>
      </c>
      <c r="F578" t="s">
        <v>25</v>
      </c>
    </row>
    <row r="579" spans="1:6">
      <c r="A579" t="s">
        <v>15</v>
      </c>
      <c r="B579" t="s">
        <v>239</v>
      </c>
      <c r="C579" s="14" t="s">
        <v>1446</v>
      </c>
      <c r="D579" s="3">
        <v>45278</v>
      </c>
      <c r="E579" s="21">
        <v>1313</v>
      </c>
      <c r="F579" t="s">
        <v>19</v>
      </c>
    </row>
    <row r="580" spans="1:6">
      <c r="A580" t="s">
        <v>15</v>
      </c>
      <c r="B580" t="s">
        <v>240</v>
      </c>
      <c r="C580" s="14" t="s">
        <v>1447</v>
      </c>
      <c r="D580" s="3">
        <v>45282</v>
      </c>
      <c r="E580" s="21">
        <v>8750</v>
      </c>
      <c r="F580" t="s">
        <v>19</v>
      </c>
    </row>
    <row r="581" spans="1:6">
      <c r="A581" t="s">
        <v>15</v>
      </c>
      <c r="B581" t="s">
        <v>241</v>
      </c>
      <c r="C581" s="14" t="s">
        <v>1448</v>
      </c>
      <c r="D581" s="3">
        <v>45272</v>
      </c>
      <c r="E581" s="21">
        <v>6562.5</v>
      </c>
      <c r="F581" t="s">
        <v>19</v>
      </c>
    </row>
    <row r="582" spans="1:6">
      <c r="A582" t="s">
        <v>15</v>
      </c>
      <c r="B582" t="s">
        <v>242</v>
      </c>
      <c r="C582" s="14" t="s">
        <v>1449</v>
      </c>
      <c r="D582" s="3">
        <v>45272</v>
      </c>
      <c r="E582" s="21">
        <v>1312.5</v>
      </c>
      <c r="F582" t="s">
        <v>19</v>
      </c>
    </row>
    <row r="583" spans="1:6">
      <c r="A583" t="s">
        <v>15</v>
      </c>
      <c r="B583" t="s">
        <v>243</v>
      </c>
      <c r="C583" s="14" t="s">
        <v>1450</v>
      </c>
      <c r="D583" s="3">
        <v>45314</v>
      </c>
      <c r="E583" s="21">
        <v>6562.5</v>
      </c>
      <c r="F583" t="s">
        <v>19</v>
      </c>
    </row>
    <row r="584" spans="1:6">
      <c r="A584" t="s">
        <v>15</v>
      </c>
      <c r="B584" t="s">
        <v>244</v>
      </c>
      <c r="C584" s="14" t="s">
        <v>1451</v>
      </c>
      <c r="D584" s="3">
        <v>45272</v>
      </c>
      <c r="E584" s="21">
        <v>5163</v>
      </c>
      <c r="F584" t="s">
        <v>19</v>
      </c>
    </row>
    <row r="585" spans="1:6" hidden="1">
      <c r="A585" t="s">
        <v>15</v>
      </c>
      <c r="B585" t="s">
        <v>245</v>
      </c>
      <c r="C585" s="7"/>
    </row>
    <row r="586" spans="1:6" hidden="1">
      <c r="A586" t="s">
        <v>15</v>
      </c>
      <c r="B586" t="s">
        <v>246</v>
      </c>
      <c r="C586" s="7"/>
    </row>
    <row r="587" spans="1:6">
      <c r="A587" t="s">
        <v>15</v>
      </c>
      <c r="B587" t="s">
        <v>247</v>
      </c>
      <c r="C587" s="7">
        <v>10</v>
      </c>
      <c r="D587" s="3">
        <v>45747</v>
      </c>
      <c r="E587" s="22">
        <v>384909.81</v>
      </c>
      <c r="F587" t="s">
        <v>25</v>
      </c>
    </row>
    <row r="588" spans="1:6">
      <c r="A588" t="s">
        <v>15</v>
      </c>
      <c r="B588" t="s">
        <v>248</v>
      </c>
      <c r="C588" s="7">
        <v>1</v>
      </c>
      <c r="D588" s="3">
        <v>45747</v>
      </c>
      <c r="E588" s="21">
        <v>10516.04</v>
      </c>
      <c r="F588" t="s">
        <v>19</v>
      </c>
    </row>
    <row r="589" spans="1:6">
      <c r="A589" t="s">
        <v>15</v>
      </c>
      <c r="B589" t="s">
        <v>249</v>
      </c>
      <c r="C589" s="14" t="s">
        <v>1452</v>
      </c>
      <c r="D589" s="3">
        <v>44578</v>
      </c>
      <c r="E589" s="21">
        <v>36656</v>
      </c>
      <c r="F589" t="s">
        <v>19</v>
      </c>
    </row>
    <row r="590" spans="1:6">
      <c r="A590" t="s">
        <v>15</v>
      </c>
      <c r="B590" t="s">
        <v>250</v>
      </c>
      <c r="C590" s="14" t="s">
        <v>1453</v>
      </c>
      <c r="D590" s="3">
        <v>45275</v>
      </c>
      <c r="E590" s="21">
        <v>1312</v>
      </c>
      <c r="F590" t="s">
        <v>19</v>
      </c>
    </row>
    <row r="591" spans="1:6">
      <c r="A591" t="s">
        <v>15</v>
      </c>
      <c r="B591" t="s">
        <v>251</v>
      </c>
      <c r="C591" s="7" t="s">
        <v>1454</v>
      </c>
      <c r="D591" s="3">
        <v>44196</v>
      </c>
      <c r="E591" s="21">
        <v>2876.56</v>
      </c>
      <c r="F591" t="s">
        <v>19</v>
      </c>
    </row>
    <row r="592" spans="1:6">
      <c r="A592" t="s">
        <v>15</v>
      </c>
      <c r="B592" t="s">
        <v>252</v>
      </c>
      <c r="C592" s="7">
        <v>1</v>
      </c>
      <c r="D592" s="3">
        <v>43922</v>
      </c>
      <c r="E592" s="21">
        <v>1518666.91</v>
      </c>
      <c r="F592" t="s">
        <v>19</v>
      </c>
    </row>
    <row r="593" spans="1:9" hidden="1">
      <c r="A593" t="s">
        <v>15</v>
      </c>
      <c r="B593" t="s">
        <v>253</v>
      </c>
      <c r="C593" s="7"/>
    </row>
    <row r="594" spans="1:9" hidden="1">
      <c r="A594" t="s">
        <v>15</v>
      </c>
      <c r="B594" t="s">
        <v>254</v>
      </c>
      <c r="C594" s="7"/>
    </row>
    <row r="595" spans="1:9" hidden="1">
      <c r="A595" t="s">
        <v>15</v>
      </c>
      <c r="B595" t="s">
        <v>255</v>
      </c>
      <c r="C595" s="7"/>
    </row>
    <row r="596" spans="1:9" hidden="1">
      <c r="A596" t="s">
        <v>15</v>
      </c>
      <c r="B596" t="s">
        <v>256</v>
      </c>
      <c r="C596" s="7"/>
    </row>
    <row r="597" spans="1:9" hidden="1">
      <c r="A597" t="s">
        <v>15</v>
      </c>
      <c r="B597" t="s">
        <v>257</v>
      </c>
      <c r="C597" s="7"/>
    </row>
    <row r="598" spans="1:9" hidden="1">
      <c r="A598" t="s">
        <v>15</v>
      </c>
      <c r="B598" t="s">
        <v>258</v>
      </c>
      <c r="C598" s="7"/>
    </row>
    <row r="599" spans="1:9" hidden="1">
      <c r="A599" t="s">
        <v>15</v>
      </c>
      <c r="B599" t="s">
        <v>259</v>
      </c>
      <c r="C599" s="7"/>
    </row>
    <row r="600" spans="1:9">
      <c r="A600" t="s">
        <v>15</v>
      </c>
      <c r="B600" t="s">
        <v>260</v>
      </c>
      <c r="C600" s="7" t="s">
        <v>1455</v>
      </c>
      <c r="D600" s="3">
        <v>45734</v>
      </c>
      <c r="E600" s="21">
        <v>25123</v>
      </c>
      <c r="F600" t="s">
        <v>19</v>
      </c>
    </row>
    <row r="601" spans="1:9">
      <c r="A601" t="s">
        <v>15</v>
      </c>
      <c r="B601" t="s">
        <v>261</v>
      </c>
      <c r="C601" s="7">
        <v>11</v>
      </c>
      <c r="D601" s="3">
        <v>45747</v>
      </c>
      <c r="E601" s="21">
        <v>218655</v>
      </c>
      <c r="F601" t="s">
        <v>25</v>
      </c>
    </row>
    <row r="602" spans="1:9">
      <c r="A602" t="s">
        <v>15</v>
      </c>
      <c r="B602" t="s">
        <v>261</v>
      </c>
      <c r="C602" s="7" t="s">
        <v>1456</v>
      </c>
      <c r="D602" s="3">
        <v>45734</v>
      </c>
      <c r="E602" s="21">
        <v>17400</v>
      </c>
      <c r="F602" t="s">
        <v>19</v>
      </c>
      <c r="I602" s="4">
        <f>E601-E602</f>
        <v>201255</v>
      </c>
    </row>
    <row r="603" spans="1:9">
      <c r="A603" t="s">
        <v>15</v>
      </c>
      <c r="B603" t="s">
        <v>262</v>
      </c>
      <c r="C603" s="7" t="s">
        <v>1457</v>
      </c>
      <c r="D603" s="3">
        <v>45736</v>
      </c>
      <c r="E603" s="21">
        <v>40277</v>
      </c>
      <c r="F603" t="s">
        <v>19</v>
      </c>
    </row>
    <row r="604" spans="1:9" hidden="1">
      <c r="A604" t="s">
        <v>15</v>
      </c>
      <c r="B604" t="s">
        <v>263</v>
      </c>
      <c r="C604" s="7"/>
    </row>
    <row r="605" spans="1:9" hidden="1">
      <c r="A605" t="s">
        <v>15</v>
      </c>
      <c r="B605" t="s">
        <v>264</v>
      </c>
      <c r="C605" s="7"/>
    </row>
    <row r="606" spans="1:9" hidden="1">
      <c r="A606" t="s">
        <v>15</v>
      </c>
      <c r="B606" t="s">
        <v>265</v>
      </c>
      <c r="C606" s="7"/>
    </row>
    <row r="607" spans="1:9" hidden="1">
      <c r="A607" t="s">
        <v>15</v>
      </c>
      <c r="B607" t="s">
        <v>266</v>
      </c>
      <c r="C607" s="7"/>
    </row>
    <row r="608" spans="1:9">
      <c r="A608" t="s">
        <v>15</v>
      </c>
      <c r="B608" t="s">
        <v>267</v>
      </c>
      <c r="C608" s="7" t="s">
        <v>1458</v>
      </c>
      <c r="D608" s="3">
        <v>45199</v>
      </c>
      <c r="E608" s="21">
        <v>252747</v>
      </c>
      <c r="F608" t="s">
        <v>19</v>
      </c>
    </row>
    <row r="609" spans="1:6" hidden="1">
      <c r="A609" t="s">
        <v>15</v>
      </c>
      <c r="B609" t="s">
        <v>268</v>
      </c>
      <c r="C609" s="7"/>
    </row>
    <row r="610" spans="1:6" hidden="1">
      <c r="A610" t="s">
        <v>15</v>
      </c>
      <c r="B610" t="s">
        <v>269</v>
      </c>
      <c r="C610" s="7"/>
    </row>
    <row r="611" spans="1:6" hidden="1">
      <c r="A611" t="s">
        <v>15</v>
      </c>
      <c r="B611" t="s">
        <v>270</v>
      </c>
      <c r="C611" s="7"/>
    </row>
    <row r="612" spans="1:6" hidden="1">
      <c r="A612" t="s">
        <v>15</v>
      </c>
      <c r="B612" t="s">
        <v>271</v>
      </c>
      <c r="C612" s="7"/>
    </row>
    <row r="613" spans="1:6">
      <c r="A613" t="s">
        <v>15</v>
      </c>
      <c r="B613" t="s">
        <v>272</v>
      </c>
      <c r="C613" s="7" t="s">
        <v>1459</v>
      </c>
      <c r="D613" s="3">
        <v>45007</v>
      </c>
      <c r="E613" s="21">
        <v>60822</v>
      </c>
      <c r="F613" t="s">
        <v>19</v>
      </c>
    </row>
    <row r="614" spans="1:6" hidden="1">
      <c r="A614" t="s">
        <v>15</v>
      </c>
      <c r="B614" t="s">
        <v>273</v>
      </c>
      <c r="C614" s="7"/>
    </row>
    <row r="615" spans="1:6">
      <c r="A615" t="s">
        <v>15</v>
      </c>
      <c r="B615" t="s">
        <v>274</v>
      </c>
      <c r="C615" s="7" t="s">
        <v>1460</v>
      </c>
      <c r="D615" s="3">
        <v>45747</v>
      </c>
      <c r="E615" s="21">
        <v>41546</v>
      </c>
      <c r="F615" t="s">
        <v>19</v>
      </c>
    </row>
    <row r="616" spans="1:6" hidden="1">
      <c r="A616" t="s">
        <v>15</v>
      </c>
      <c r="B616" t="s">
        <v>275</v>
      </c>
      <c r="C616" s="7"/>
    </row>
    <row r="617" spans="1:6" hidden="1">
      <c r="A617" t="s">
        <v>15</v>
      </c>
      <c r="B617" t="s">
        <v>276</v>
      </c>
      <c r="C617" s="7"/>
    </row>
    <row r="618" spans="1:6">
      <c r="A618" t="s">
        <v>15</v>
      </c>
      <c r="B618" t="s">
        <v>277</v>
      </c>
      <c r="C618" s="7" t="s">
        <v>1461</v>
      </c>
      <c r="D618" s="3">
        <v>45579</v>
      </c>
      <c r="E618" s="21">
        <v>166572</v>
      </c>
      <c r="F618" t="s">
        <v>19</v>
      </c>
    </row>
    <row r="619" spans="1:6">
      <c r="A619" t="s">
        <v>15</v>
      </c>
      <c r="B619" t="s">
        <v>278</v>
      </c>
      <c r="C619" s="7" t="s">
        <v>1462</v>
      </c>
      <c r="D619" s="3">
        <v>45238</v>
      </c>
      <c r="E619" s="21">
        <v>826830</v>
      </c>
      <c r="F619" t="s">
        <v>19</v>
      </c>
    </row>
    <row r="620" spans="1:6">
      <c r="A620" t="s">
        <v>15</v>
      </c>
      <c r="B620" t="s">
        <v>278</v>
      </c>
      <c r="C620" s="7" t="s">
        <v>1463</v>
      </c>
      <c r="D620" s="3">
        <v>45281</v>
      </c>
      <c r="E620" s="21">
        <v>1597380</v>
      </c>
      <c r="F620" t="s">
        <v>19</v>
      </c>
    </row>
    <row r="621" spans="1:6">
      <c r="A621" t="s">
        <v>15</v>
      </c>
      <c r="B621" t="s">
        <v>278</v>
      </c>
      <c r="C621" s="7" t="s">
        <v>1464</v>
      </c>
      <c r="D621" s="3">
        <v>45356</v>
      </c>
      <c r="E621" s="21">
        <v>122220</v>
      </c>
      <c r="F621" t="s">
        <v>19</v>
      </c>
    </row>
    <row r="622" spans="1:6">
      <c r="A622" t="s">
        <v>15</v>
      </c>
      <c r="B622" t="s">
        <v>278</v>
      </c>
      <c r="C622" s="7" t="s">
        <v>1465</v>
      </c>
      <c r="D622" s="3">
        <v>45408</v>
      </c>
      <c r="E622" s="21">
        <v>57840</v>
      </c>
      <c r="F622" t="s">
        <v>19</v>
      </c>
    </row>
    <row r="623" spans="1:6">
      <c r="A623" t="s">
        <v>15</v>
      </c>
      <c r="B623" t="s">
        <v>279</v>
      </c>
      <c r="C623" s="7" t="s">
        <v>1466</v>
      </c>
      <c r="D623" s="3">
        <v>45199</v>
      </c>
      <c r="E623" s="21">
        <v>100605</v>
      </c>
      <c r="F623" t="s">
        <v>19</v>
      </c>
    </row>
    <row r="624" spans="1:6" hidden="1">
      <c r="A624" t="s">
        <v>15</v>
      </c>
      <c r="B624" t="s">
        <v>280</v>
      </c>
      <c r="C624" s="7"/>
    </row>
    <row r="625" spans="1:6">
      <c r="A625" t="s">
        <v>15</v>
      </c>
      <c r="B625" t="s">
        <v>281</v>
      </c>
      <c r="C625" s="7" t="s">
        <v>1467</v>
      </c>
      <c r="D625" s="3">
        <v>45199</v>
      </c>
      <c r="E625" s="21">
        <v>83084</v>
      </c>
      <c r="F625" t="s">
        <v>19</v>
      </c>
    </row>
    <row r="626" spans="1:6">
      <c r="A626" t="s">
        <v>15</v>
      </c>
      <c r="B626" t="s">
        <v>282</v>
      </c>
      <c r="C626" s="14" t="s">
        <v>1462</v>
      </c>
      <c r="D626" s="17">
        <v>45383</v>
      </c>
      <c r="E626" s="23">
        <v>551220</v>
      </c>
      <c r="F626" t="s">
        <v>19</v>
      </c>
    </row>
    <row r="627" spans="1:6">
      <c r="A627" t="s">
        <v>15</v>
      </c>
      <c r="B627" t="s">
        <v>282</v>
      </c>
      <c r="C627" s="14" t="s">
        <v>1463</v>
      </c>
      <c r="D627" s="17">
        <v>45383</v>
      </c>
      <c r="E627" s="23">
        <v>1064920</v>
      </c>
      <c r="F627" t="s">
        <v>19</v>
      </c>
    </row>
    <row r="628" spans="1:6">
      <c r="A628" t="s">
        <v>15</v>
      </c>
      <c r="B628" t="s">
        <v>282</v>
      </c>
      <c r="C628" s="14" t="s">
        <v>1464</v>
      </c>
      <c r="D628" s="17">
        <v>45383</v>
      </c>
      <c r="E628" s="23">
        <v>81480</v>
      </c>
      <c r="F628" t="s">
        <v>19</v>
      </c>
    </row>
    <row r="629" spans="1:6">
      <c r="A629" t="s">
        <v>15</v>
      </c>
      <c r="B629" t="s">
        <v>282</v>
      </c>
      <c r="C629" s="14" t="s">
        <v>1465</v>
      </c>
      <c r="D629" s="17">
        <v>45502</v>
      </c>
      <c r="E629" s="23">
        <v>38560</v>
      </c>
      <c r="F629" t="s">
        <v>19</v>
      </c>
    </row>
    <row r="630" spans="1:6">
      <c r="A630" t="s">
        <v>15</v>
      </c>
      <c r="B630" t="s">
        <v>283</v>
      </c>
      <c r="C630" s="14" t="s">
        <v>1468</v>
      </c>
      <c r="D630" s="3">
        <v>45199</v>
      </c>
      <c r="E630" s="21">
        <v>70531</v>
      </c>
      <c r="F630" t="s">
        <v>19</v>
      </c>
    </row>
    <row r="631" spans="1:6" hidden="1">
      <c r="A631" t="s">
        <v>15</v>
      </c>
      <c r="B631" t="s">
        <v>284</v>
      </c>
      <c r="C631" s="7"/>
    </row>
    <row r="632" spans="1:6">
      <c r="A632" t="s">
        <v>15</v>
      </c>
      <c r="B632" t="s">
        <v>285</v>
      </c>
      <c r="C632" s="7">
        <v>12</v>
      </c>
      <c r="D632" s="3">
        <v>45747</v>
      </c>
      <c r="E632" s="22">
        <v>397269.87</v>
      </c>
      <c r="F632" t="s">
        <v>25</v>
      </c>
    </row>
    <row r="633" spans="1:6">
      <c r="A633" t="s">
        <v>15</v>
      </c>
      <c r="B633" t="s">
        <v>286</v>
      </c>
      <c r="C633" s="16" t="s">
        <v>1469</v>
      </c>
      <c r="D633" s="3">
        <v>43249</v>
      </c>
      <c r="E633" s="21">
        <v>89000</v>
      </c>
      <c r="F633" t="s">
        <v>19</v>
      </c>
    </row>
    <row r="634" spans="1:6">
      <c r="A634" t="s">
        <v>15</v>
      </c>
      <c r="B634" t="s">
        <v>286</v>
      </c>
      <c r="C634" s="14" t="s">
        <v>1470</v>
      </c>
      <c r="D634" s="3">
        <v>44547</v>
      </c>
      <c r="E634" s="21">
        <v>137340.79999999999</v>
      </c>
      <c r="F634" t="s">
        <v>19</v>
      </c>
    </row>
    <row r="635" spans="1:6">
      <c r="A635" t="s">
        <v>15</v>
      </c>
      <c r="B635" t="s">
        <v>287</v>
      </c>
      <c r="C635" s="7" t="s">
        <v>1471</v>
      </c>
      <c r="D635" s="3">
        <v>43851</v>
      </c>
      <c r="E635" s="21">
        <v>113038.76</v>
      </c>
      <c r="F635" t="s">
        <v>19</v>
      </c>
    </row>
    <row r="636" spans="1:6">
      <c r="A636" t="s">
        <v>15</v>
      </c>
      <c r="B636" t="s">
        <v>287</v>
      </c>
      <c r="C636" s="7" t="s">
        <v>1472</v>
      </c>
      <c r="D636" s="3">
        <v>43922</v>
      </c>
      <c r="E636" s="21">
        <f>244496-40282</f>
        <v>204214</v>
      </c>
      <c r="F636" t="s">
        <v>19</v>
      </c>
    </row>
    <row r="637" spans="1:6" hidden="1">
      <c r="A637" t="s">
        <v>15</v>
      </c>
      <c r="B637" t="s">
        <v>288</v>
      </c>
      <c r="C637" s="7"/>
    </row>
    <row r="638" spans="1:6">
      <c r="A638" t="s">
        <v>15</v>
      </c>
      <c r="B638" t="s">
        <v>289</v>
      </c>
      <c r="C638" s="14" t="s">
        <v>1473</v>
      </c>
      <c r="D638" s="3">
        <v>45216</v>
      </c>
      <c r="E638" s="21">
        <v>109143</v>
      </c>
      <c r="F638" t="s">
        <v>19</v>
      </c>
    </row>
    <row r="639" spans="1:6">
      <c r="A639" t="s">
        <v>15</v>
      </c>
      <c r="B639" t="s">
        <v>290</v>
      </c>
      <c r="C639" s="7" t="s">
        <v>1474</v>
      </c>
      <c r="D639" s="3">
        <v>45702</v>
      </c>
      <c r="E639" s="21">
        <v>318878</v>
      </c>
      <c r="F639" t="s">
        <v>19</v>
      </c>
    </row>
    <row r="640" spans="1:6">
      <c r="A640" t="s">
        <v>15</v>
      </c>
      <c r="B640" t="s">
        <v>291</v>
      </c>
      <c r="C640" s="7" t="s">
        <v>1475</v>
      </c>
      <c r="D640" s="3">
        <v>45688</v>
      </c>
      <c r="E640" s="21">
        <v>117981</v>
      </c>
      <c r="F640" t="s">
        <v>19</v>
      </c>
    </row>
    <row r="641" spans="1:6">
      <c r="A641" t="s">
        <v>15</v>
      </c>
      <c r="B641" t="s">
        <v>292</v>
      </c>
      <c r="C641" s="7" t="s">
        <v>1476</v>
      </c>
      <c r="D641" s="3">
        <v>45688</v>
      </c>
      <c r="E641" s="21">
        <v>117981</v>
      </c>
      <c r="F641" t="s">
        <v>19</v>
      </c>
    </row>
    <row r="642" spans="1:6">
      <c r="A642" t="s">
        <v>15</v>
      </c>
      <c r="B642" t="s">
        <v>293</v>
      </c>
      <c r="C642" s="7" t="s">
        <v>1477</v>
      </c>
      <c r="D642" s="3">
        <v>45199</v>
      </c>
      <c r="E642" s="21">
        <v>68910</v>
      </c>
      <c r="F642" t="s">
        <v>19</v>
      </c>
    </row>
    <row r="643" spans="1:6">
      <c r="A643" t="s">
        <v>15</v>
      </c>
      <c r="B643" t="s">
        <v>294</v>
      </c>
      <c r="C643" s="7" t="s">
        <v>1478</v>
      </c>
      <c r="D643" s="3">
        <v>45593</v>
      </c>
      <c r="E643" s="21">
        <v>55125</v>
      </c>
      <c r="F643" t="s">
        <v>19</v>
      </c>
    </row>
    <row r="644" spans="1:6">
      <c r="A644" t="s">
        <v>15</v>
      </c>
      <c r="B644" t="s">
        <v>295</v>
      </c>
      <c r="C644" s="14" t="s">
        <v>1479</v>
      </c>
      <c r="D644" s="3">
        <v>45323</v>
      </c>
      <c r="E644" s="21">
        <v>7452.5</v>
      </c>
      <c r="F644" t="s">
        <v>19</v>
      </c>
    </row>
    <row r="645" spans="1:6">
      <c r="A645" t="s">
        <v>15</v>
      </c>
      <c r="B645" t="s">
        <v>295</v>
      </c>
      <c r="C645" s="14" t="s">
        <v>1480</v>
      </c>
      <c r="D645" s="3">
        <v>45323</v>
      </c>
      <c r="E645" s="21">
        <v>11150</v>
      </c>
      <c r="F645" t="s">
        <v>19</v>
      </c>
    </row>
    <row r="646" spans="1:6">
      <c r="A646" t="s">
        <v>15</v>
      </c>
      <c r="B646" t="s">
        <v>295</v>
      </c>
      <c r="C646" s="14" t="s">
        <v>1481</v>
      </c>
      <c r="D646" s="3">
        <v>45382</v>
      </c>
      <c r="E646" s="21">
        <f>16849.87-411</f>
        <v>16438.87</v>
      </c>
      <c r="F646" t="s">
        <v>19</v>
      </c>
    </row>
    <row r="647" spans="1:6">
      <c r="A647" t="s">
        <v>15</v>
      </c>
      <c r="B647" t="s">
        <v>296</v>
      </c>
      <c r="C647" s="14" t="s">
        <v>1482</v>
      </c>
      <c r="D647" s="3">
        <v>45673</v>
      </c>
      <c r="E647" s="21">
        <v>51543.5</v>
      </c>
      <c r="F647" t="s">
        <v>19</v>
      </c>
    </row>
    <row r="648" spans="1:6">
      <c r="A648" t="s">
        <v>15</v>
      </c>
      <c r="B648" t="s">
        <v>297</v>
      </c>
      <c r="C648" s="14" t="s">
        <v>1483</v>
      </c>
      <c r="D648" s="3">
        <v>45261</v>
      </c>
      <c r="E648" s="21">
        <v>120496.1</v>
      </c>
      <c r="F648" t="s">
        <v>19</v>
      </c>
    </row>
    <row r="649" spans="1:6">
      <c r="A649" t="s">
        <v>15</v>
      </c>
      <c r="B649" t="s">
        <v>298</v>
      </c>
      <c r="C649" s="14" t="s">
        <v>1484</v>
      </c>
      <c r="D649" s="3">
        <v>45199</v>
      </c>
      <c r="E649" s="21">
        <v>102583.5</v>
      </c>
      <c r="F649" t="s">
        <v>19</v>
      </c>
    </row>
    <row r="650" spans="1:6">
      <c r="A650" t="s">
        <v>15</v>
      </c>
      <c r="B650" t="s">
        <v>299</v>
      </c>
      <c r="C650" s="14" t="s">
        <v>1485</v>
      </c>
      <c r="D650" s="3">
        <v>45323</v>
      </c>
      <c r="E650" s="21">
        <f>52991.7-953</f>
        <v>52038.7</v>
      </c>
      <c r="F650" t="s">
        <v>19</v>
      </c>
    </row>
    <row r="651" spans="1:6" hidden="1">
      <c r="A651" t="s">
        <v>15</v>
      </c>
      <c r="B651" t="s">
        <v>300</v>
      </c>
      <c r="C651" s="7"/>
    </row>
    <row r="652" spans="1:6" hidden="1">
      <c r="A652" t="s">
        <v>15</v>
      </c>
      <c r="B652" t="s">
        <v>301</v>
      </c>
      <c r="C652" s="7"/>
    </row>
    <row r="653" spans="1:6">
      <c r="A653" t="s">
        <v>15</v>
      </c>
      <c r="B653" t="s">
        <v>302</v>
      </c>
      <c r="C653" s="7" t="s">
        <v>1474</v>
      </c>
      <c r="D653" s="3">
        <v>45702</v>
      </c>
      <c r="E653" s="21">
        <v>40480</v>
      </c>
      <c r="F653" t="s">
        <v>19</v>
      </c>
    </row>
    <row r="654" spans="1:6">
      <c r="A654" t="s">
        <v>15</v>
      </c>
      <c r="B654" t="s">
        <v>302</v>
      </c>
      <c r="C654" s="7" t="s">
        <v>1486</v>
      </c>
      <c r="D654" s="3">
        <v>45705</v>
      </c>
      <c r="E654" s="21">
        <v>90338</v>
      </c>
      <c r="F654" t="s">
        <v>19</v>
      </c>
    </row>
    <row r="655" spans="1:6">
      <c r="A655" t="s">
        <v>15</v>
      </c>
      <c r="B655" t="s">
        <v>302</v>
      </c>
      <c r="C655" s="7" t="s">
        <v>1487</v>
      </c>
      <c r="D655" s="3">
        <v>45744</v>
      </c>
      <c r="E655" s="21">
        <v>548894</v>
      </c>
      <c r="F655" t="s">
        <v>19</v>
      </c>
    </row>
    <row r="656" spans="1:6">
      <c r="A656" t="s">
        <v>15</v>
      </c>
      <c r="B656" t="s">
        <v>303</v>
      </c>
      <c r="C656" s="7" t="s">
        <v>1488</v>
      </c>
      <c r="D656" s="3">
        <v>45199</v>
      </c>
      <c r="E656" s="21">
        <v>16591</v>
      </c>
      <c r="F656" t="s">
        <v>19</v>
      </c>
    </row>
    <row r="657" spans="1:6">
      <c r="A657" t="s">
        <v>15</v>
      </c>
      <c r="B657" t="s">
        <v>304</v>
      </c>
      <c r="C657" s="7" t="s">
        <v>1489</v>
      </c>
      <c r="D657" s="3">
        <v>45699</v>
      </c>
      <c r="E657" s="21">
        <v>304676</v>
      </c>
      <c r="F657" t="s">
        <v>19</v>
      </c>
    </row>
    <row r="658" spans="1:6" hidden="1">
      <c r="A658" t="s">
        <v>15</v>
      </c>
      <c r="B658" t="s">
        <v>305</v>
      </c>
      <c r="C658" s="7"/>
    </row>
    <row r="659" spans="1:6" hidden="1">
      <c r="A659" t="s">
        <v>15</v>
      </c>
      <c r="B659" t="s">
        <v>306</v>
      </c>
      <c r="C659" s="7"/>
    </row>
    <row r="660" spans="1:6" hidden="1">
      <c r="A660" t="s">
        <v>15</v>
      </c>
      <c r="B660" t="s">
        <v>307</v>
      </c>
      <c r="C660" s="7"/>
    </row>
    <row r="661" spans="1:6" hidden="1">
      <c r="A661" t="s">
        <v>15</v>
      </c>
      <c r="B661" t="s">
        <v>308</v>
      </c>
      <c r="C661" s="7"/>
    </row>
    <row r="662" spans="1:6">
      <c r="A662" t="s">
        <v>15</v>
      </c>
      <c r="B662" t="s">
        <v>309</v>
      </c>
      <c r="C662" s="7" t="s">
        <v>1490</v>
      </c>
      <c r="D662" s="3">
        <v>43910</v>
      </c>
      <c r="E662" s="21">
        <v>1250000</v>
      </c>
      <c r="F662" t="s">
        <v>19</v>
      </c>
    </row>
    <row r="663" spans="1:6">
      <c r="A663" t="s">
        <v>15</v>
      </c>
      <c r="B663" t="s">
        <v>309</v>
      </c>
      <c r="C663" s="7" t="s">
        <v>1491</v>
      </c>
      <c r="D663" s="3">
        <v>43910</v>
      </c>
      <c r="E663" s="21">
        <v>1250000</v>
      </c>
      <c r="F663" t="s">
        <v>19</v>
      </c>
    </row>
    <row r="664" spans="1:6">
      <c r="A664" t="s">
        <v>15</v>
      </c>
      <c r="B664" t="s">
        <v>309</v>
      </c>
      <c r="C664" s="7" t="s">
        <v>1492</v>
      </c>
      <c r="D664" s="3">
        <v>43913</v>
      </c>
      <c r="E664" s="21">
        <v>1170543</v>
      </c>
      <c r="F664" t="s">
        <v>19</v>
      </c>
    </row>
    <row r="665" spans="1:6">
      <c r="A665" t="s">
        <v>15</v>
      </c>
      <c r="B665" t="s">
        <v>309</v>
      </c>
      <c r="C665" s="7" t="s">
        <v>1493</v>
      </c>
      <c r="D665" s="3">
        <v>43913</v>
      </c>
      <c r="E665" s="21">
        <f>1374396+521254.6</f>
        <v>1895650.6</v>
      </c>
      <c r="F665" t="s">
        <v>19</v>
      </c>
    </row>
    <row r="666" spans="1:6" hidden="1">
      <c r="A666" t="s">
        <v>15</v>
      </c>
      <c r="B666" t="s">
        <v>310</v>
      </c>
      <c r="C666" s="7"/>
    </row>
    <row r="667" spans="1:6" hidden="1">
      <c r="A667" t="s">
        <v>15</v>
      </c>
      <c r="B667" t="s">
        <v>311</v>
      </c>
      <c r="C667" s="7"/>
    </row>
    <row r="668" spans="1:6" hidden="1">
      <c r="A668" t="s">
        <v>15</v>
      </c>
      <c r="B668" t="s">
        <v>312</v>
      </c>
      <c r="C668" s="7"/>
    </row>
    <row r="669" spans="1:6" hidden="1">
      <c r="A669" t="s">
        <v>15</v>
      </c>
      <c r="B669" t="s">
        <v>313</v>
      </c>
      <c r="C669" s="7"/>
    </row>
    <row r="670" spans="1:6" hidden="1">
      <c r="A670" t="s">
        <v>15</v>
      </c>
      <c r="B670" t="s">
        <v>314</v>
      </c>
      <c r="C670" s="7"/>
    </row>
    <row r="671" spans="1:6" hidden="1">
      <c r="A671" t="s">
        <v>15</v>
      </c>
      <c r="B671" t="s">
        <v>315</v>
      </c>
      <c r="C671" s="7"/>
    </row>
    <row r="672" spans="1:6" hidden="1">
      <c r="A672" t="s">
        <v>15</v>
      </c>
      <c r="B672" t="s">
        <v>316</v>
      </c>
      <c r="C672" s="7"/>
    </row>
    <row r="673" spans="1:6" hidden="1">
      <c r="A673" t="s">
        <v>15</v>
      </c>
      <c r="B673" t="s">
        <v>317</v>
      </c>
      <c r="C673" s="7"/>
    </row>
    <row r="674" spans="1:6">
      <c r="A674" t="s">
        <v>713</v>
      </c>
      <c r="B674" t="s">
        <v>714</v>
      </c>
      <c r="C674" s="13">
        <v>4505</v>
      </c>
      <c r="D674" s="3">
        <v>45747</v>
      </c>
      <c r="E674" s="4">
        <v>11800</v>
      </c>
      <c r="F674" t="s">
        <v>19</v>
      </c>
    </row>
    <row r="675" spans="1:6" hidden="1">
      <c r="A675" t="s">
        <v>713</v>
      </c>
      <c r="B675" t="s">
        <v>715</v>
      </c>
      <c r="C675"/>
    </row>
    <row r="676" spans="1:6">
      <c r="A676" t="s">
        <v>713</v>
      </c>
      <c r="B676" s="2" t="s">
        <v>1494</v>
      </c>
      <c r="C676" s="13" t="s">
        <v>1495</v>
      </c>
      <c r="D676" s="3">
        <v>45737</v>
      </c>
      <c r="E676" s="4">
        <v>16756</v>
      </c>
      <c r="F676" t="s">
        <v>25</v>
      </c>
    </row>
    <row r="677" spans="1:6">
      <c r="A677" t="s">
        <v>713</v>
      </c>
      <c r="B677" s="2" t="s">
        <v>1494</v>
      </c>
      <c r="C677" s="13" t="s">
        <v>1496</v>
      </c>
      <c r="D677" s="3">
        <v>45727</v>
      </c>
      <c r="E677" s="4">
        <v>40710</v>
      </c>
      <c r="F677" t="s">
        <v>25</v>
      </c>
    </row>
    <row r="678" spans="1:6">
      <c r="A678" t="s">
        <v>713</v>
      </c>
      <c r="B678" s="2" t="s">
        <v>1494</v>
      </c>
      <c r="C678" s="13" t="s">
        <v>1497</v>
      </c>
      <c r="D678" s="3">
        <v>45723</v>
      </c>
      <c r="E678" s="4">
        <v>112324</v>
      </c>
      <c r="F678" t="s">
        <v>25</v>
      </c>
    </row>
    <row r="679" spans="1:6">
      <c r="A679" t="s">
        <v>713</v>
      </c>
      <c r="B679" s="2" t="s">
        <v>1494</v>
      </c>
      <c r="C679" s="13" t="s">
        <v>1498</v>
      </c>
      <c r="D679" s="3">
        <v>45722</v>
      </c>
      <c r="E679" s="4">
        <f>114647+1379.6</f>
        <v>116026.6</v>
      </c>
      <c r="F679" t="s">
        <v>25</v>
      </c>
    </row>
    <row r="680" spans="1:6">
      <c r="A680" t="s">
        <v>713</v>
      </c>
      <c r="B680" s="2" t="s">
        <v>1494</v>
      </c>
      <c r="C680" s="13" t="s">
        <v>1499</v>
      </c>
      <c r="D680" s="3">
        <v>45719</v>
      </c>
      <c r="E680" s="4">
        <v>106733</v>
      </c>
      <c r="F680" t="s">
        <v>25</v>
      </c>
    </row>
    <row r="681" spans="1:6">
      <c r="A681" t="s">
        <v>713</v>
      </c>
      <c r="B681" s="2" t="s">
        <v>1494</v>
      </c>
      <c r="C681" s="13" t="s">
        <v>1500</v>
      </c>
      <c r="D681" s="3">
        <v>45711</v>
      </c>
      <c r="E681" s="4">
        <v>191514</v>
      </c>
      <c r="F681" t="s">
        <v>25</v>
      </c>
    </row>
    <row r="682" spans="1:6">
      <c r="A682" t="s">
        <v>713</v>
      </c>
      <c r="B682" s="2" t="s">
        <v>1494</v>
      </c>
      <c r="C682" s="13" t="s">
        <v>1501</v>
      </c>
      <c r="D682" s="3">
        <v>45702</v>
      </c>
      <c r="E682" s="4">
        <v>69620</v>
      </c>
      <c r="F682" t="s">
        <v>25</v>
      </c>
    </row>
    <row r="683" spans="1:6">
      <c r="A683" t="s">
        <v>713</v>
      </c>
      <c r="B683" s="2" t="s">
        <v>1494</v>
      </c>
      <c r="C683" s="13" t="s">
        <v>1502</v>
      </c>
      <c r="D683" s="3">
        <v>45691</v>
      </c>
      <c r="E683" s="4">
        <v>109150</v>
      </c>
      <c r="F683" t="s">
        <v>25</v>
      </c>
    </row>
    <row r="684" spans="1:6">
      <c r="A684" t="s">
        <v>713</v>
      </c>
      <c r="B684" s="2" t="s">
        <v>1494</v>
      </c>
      <c r="C684" s="13" t="s">
        <v>1503</v>
      </c>
      <c r="D684" s="3">
        <v>45678</v>
      </c>
      <c r="E684" s="4">
        <v>197556</v>
      </c>
      <c r="F684" t="s">
        <v>25</v>
      </c>
    </row>
    <row r="685" spans="1:6">
      <c r="A685" t="s">
        <v>713</v>
      </c>
      <c r="B685" s="2" t="s">
        <v>1494</v>
      </c>
      <c r="C685" s="13" t="s">
        <v>1504</v>
      </c>
      <c r="D685" s="3">
        <v>45678</v>
      </c>
      <c r="E685" s="4">
        <v>8968</v>
      </c>
      <c r="F685" t="s">
        <v>25</v>
      </c>
    </row>
    <row r="686" spans="1:6">
      <c r="A686" t="s">
        <v>713</v>
      </c>
      <c r="B686" s="2" t="s">
        <v>1494</v>
      </c>
      <c r="C686" s="13" t="s">
        <v>1505</v>
      </c>
      <c r="D686" s="3">
        <v>45656</v>
      </c>
      <c r="E686" s="4">
        <v>12508</v>
      </c>
      <c r="F686" t="s">
        <v>25</v>
      </c>
    </row>
    <row r="687" spans="1:6">
      <c r="A687" t="s">
        <v>713</v>
      </c>
      <c r="B687" s="2" t="s">
        <v>1494</v>
      </c>
      <c r="C687" s="13" t="s">
        <v>1506</v>
      </c>
      <c r="D687" s="3">
        <v>45656</v>
      </c>
      <c r="E687" s="4">
        <v>20886</v>
      </c>
      <c r="F687" t="s">
        <v>25</v>
      </c>
    </row>
    <row r="688" spans="1:6">
      <c r="A688" t="s">
        <v>713</v>
      </c>
      <c r="B688" s="2" t="s">
        <v>1494</v>
      </c>
      <c r="C688" s="13" t="s">
        <v>1507</v>
      </c>
      <c r="D688" s="3">
        <v>45616</v>
      </c>
      <c r="E688" s="4">
        <v>209863</v>
      </c>
      <c r="F688" t="s">
        <v>25</v>
      </c>
    </row>
    <row r="689" spans="1:6">
      <c r="A689" t="s">
        <v>713</v>
      </c>
      <c r="B689" s="2" t="s">
        <v>1494</v>
      </c>
      <c r="C689" s="13" t="s">
        <v>1508</v>
      </c>
      <c r="D689" s="3">
        <v>45614</v>
      </c>
      <c r="E689" s="4">
        <v>120272</v>
      </c>
      <c r="F689" t="s">
        <v>25</v>
      </c>
    </row>
    <row r="690" spans="1:6">
      <c r="A690" t="s">
        <v>713</v>
      </c>
      <c r="B690" s="2" t="s">
        <v>1494</v>
      </c>
      <c r="C690" s="13" t="s">
        <v>1509</v>
      </c>
      <c r="D690" s="3">
        <v>45614</v>
      </c>
      <c r="E690" s="4">
        <v>120862</v>
      </c>
      <c r="F690" t="s">
        <v>25</v>
      </c>
    </row>
    <row r="691" spans="1:6">
      <c r="A691" t="s">
        <v>713</v>
      </c>
      <c r="B691" s="2" t="s">
        <v>1494</v>
      </c>
      <c r="C691" s="13" t="s">
        <v>1510</v>
      </c>
      <c r="D691" s="3">
        <v>45609</v>
      </c>
      <c r="E691" s="4">
        <v>130508</v>
      </c>
      <c r="F691" t="s">
        <v>25</v>
      </c>
    </row>
    <row r="692" spans="1:6">
      <c r="A692" t="s">
        <v>713</v>
      </c>
      <c r="B692" s="2" t="s">
        <v>1494</v>
      </c>
      <c r="C692" s="13" t="s">
        <v>1511</v>
      </c>
      <c r="D692" s="3">
        <v>45608</v>
      </c>
      <c r="E692" s="4">
        <v>378039</v>
      </c>
      <c r="F692" t="s">
        <v>25</v>
      </c>
    </row>
    <row r="693" spans="1:6">
      <c r="A693" t="s">
        <v>713</v>
      </c>
      <c r="B693" s="2" t="s">
        <v>1494</v>
      </c>
      <c r="C693" s="13" t="s">
        <v>1512</v>
      </c>
      <c r="D693" s="3">
        <v>45535</v>
      </c>
      <c r="E693" s="4">
        <v>145787</v>
      </c>
      <c r="F693" t="s">
        <v>25</v>
      </c>
    </row>
    <row r="694" spans="1:6">
      <c r="A694" t="s">
        <v>713</v>
      </c>
      <c r="B694" s="2" t="s">
        <v>1494</v>
      </c>
      <c r="C694" s="13" t="s">
        <v>1513</v>
      </c>
      <c r="D694" s="3">
        <v>45543</v>
      </c>
      <c r="E694" s="4">
        <v>80931</v>
      </c>
      <c r="F694" t="s">
        <v>25</v>
      </c>
    </row>
    <row r="695" spans="1:6">
      <c r="A695" t="s">
        <v>713</v>
      </c>
      <c r="B695" s="2" t="s">
        <v>1494</v>
      </c>
      <c r="C695" s="13" t="s">
        <v>1514</v>
      </c>
      <c r="D695" s="3">
        <v>45576</v>
      </c>
      <c r="E695" s="4">
        <v>69915</v>
      </c>
      <c r="F695" t="s">
        <v>25</v>
      </c>
    </row>
    <row r="696" spans="1:6">
      <c r="A696" t="s">
        <v>713</v>
      </c>
      <c r="B696" s="2" t="s">
        <v>1494</v>
      </c>
      <c r="C696" s="13" t="s">
        <v>1515</v>
      </c>
      <c r="D696" s="3">
        <v>45576</v>
      </c>
      <c r="E696" s="4">
        <v>47979</v>
      </c>
      <c r="F696" t="s">
        <v>25</v>
      </c>
    </row>
    <row r="697" spans="1:6">
      <c r="A697" t="s">
        <v>713</v>
      </c>
      <c r="B697" s="2" t="s">
        <v>1494</v>
      </c>
      <c r="C697" s="13" t="s">
        <v>1516</v>
      </c>
      <c r="D697" s="3">
        <v>45607</v>
      </c>
      <c r="E697" s="4">
        <v>155388</v>
      </c>
      <c r="F697" t="s">
        <v>25</v>
      </c>
    </row>
    <row r="698" spans="1:6">
      <c r="A698" t="s">
        <v>713</v>
      </c>
      <c r="B698" s="2" t="s">
        <v>1494</v>
      </c>
      <c r="C698" s="13" t="s">
        <v>1517</v>
      </c>
      <c r="D698" s="3">
        <v>45608</v>
      </c>
      <c r="E698" s="4">
        <v>64316</v>
      </c>
      <c r="F698" t="s">
        <v>25</v>
      </c>
    </row>
    <row r="699" spans="1:6" hidden="1">
      <c r="A699" t="s">
        <v>713</v>
      </c>
      <c r="B699" t="s">
        <v>717</v>
      </c>
      <c r="C699"/>
    </row>
    <row r="700" spans="1:6">
      <c r="A700" t="s">
        <v>713</v>
      </c>
      <c r="B700" s="2" t="s">
        <v>1518</v>
      </c>
      <c r="C700" s="2" t="s">
        <v>1519</v>
      </c>
      <c r="D700" s="6" t="s">
        <v>1520</v>
      </c>
      <c r="E700" s="4">
        <v>158816</v>
      </c>
      <c r="F700" t="s">
        <v>25</v>
      </c>
    </row>
    <row r="701" spans="1:6">
      <c r="A701" t="s">
        <v>713</v>
      </c>
      <c r="B701" s="2" t="s">
        <v>1518</v>
      </c>
      <c r="C701" s="2" t="s">
        <v>1521</v>
      </c>
      <c r="D701" s="6" t="s">
        <v>1522</v>
      </c>
      <c r="E701" s="4">
        <v>191100</v>
      </c>
      <c r="F701" t="s">
        <v>25</v>
      </c>
    </row>
    <row r="702" spans="1:6">
      <c r="A702" t="s">
        <v>713</v>
      </c>
      <c r="B702" s="2" t="s">
        <v>1518</v>
      </c>
      <c r="C702" s="2" t="s">
        <v>1523</v>
      </c>
      <c r="D702" s="6" t="s">
        <v>1524</v>
      </c>
      <c r="E702" s="4">
        <v>36064</v>
      </c>
      <c r="F702" t="s">
        <v>25</v>
      </c>
    </row>
    <row r="703" spans="1:6" hidden="1">
      <c r="A703" t="s">
        <v>713</v>
      </c>
      <c r="B703" t="s">
        <v>719</v>
      </c>
      <c r="C703"/>
    </row>
    <row r="704" spans="1:6" hidden="1">
      <c r="A704" t="s">
        <v>713</v>
      </c>
      <c r="B704" t="s">
        <v>720</v>
      </c>
      <c r="C704"/>
    </row>
    <row r="705" spans="1:6" hidden="1">
      <c r="A705" t="s">
        <v>713</v>
      </c>
      <c r="B705" t="s">
        <v>721</v>
      </c>
      <c r="C705"/>
    </row>
    <row r="706" spans="1:6">
      <c r="A706" t="s">
        <v>713</v>
      </c>
      <c r="B706" s="2" t="s">
        <v>722</v>
      </c>
      <c r="C706" s="2" t="s">
        <v>1525</v>
      </c>
      <c r="D706" s="6" t="s">
        <v>1526</v>
      </c>
      <c r="E706" s="4">
        <v>57471</v>
      </c>
      <c r="F706" t="s">
        <v>25</v>
      </c>
    </row>
    <row r="707" spans="1:6" hidden="1">
      <c r="A707" t="s">
        <v>713</v>
      </c>
      <c r="B707" t="s">
        <v>723</v>
      </c>
      <c r="C707"/>
    </row>
    <row r="708" spans="1:6" hidden="1">
      <c r="A708" t="s">
        <v>713</v>
      </c>
      <c r="B708" t="s">
        <v>724</v>
      </c>
      <c r="C708"/>
    </row>
    <row r="709" spans="1:6">
      <c r="A709" t="s">
        <v>713</v>
      </c>
      <c r="B709" s="2" t="s">
        <v>1527</v>
      </c>
      <c r="C709" s="2" t="s">
        <v>1528</v>
      </c>
      <c r="D709" s="6">
        <v>45721</v>
      </c>
      <c r="E709" s="4">
        <v>231284</v>
      </c>
      <c r="F709" t="s">
        <v>25</v>
      </c>
    </row>
    <row r="710" spans="1:6">
      <c r="A710" t="s">
        <v>713</v>
      </c>
      <c r="B710" s="2" t="s">
        <v>1529</v>
      </c>
      <c r="C710" s="2" t="s">
        <v>1530</v>
      </c>
      <c r="D710" s="6">
        <v>45741</v>
      </c>
      <c r="E710" s="4">
        <v>437360</v>
      </c>
      <c r="F710" t="s">
        <v>25</v>
      </c>
    </row>
    <row r="711" spans="1:6" hidden="1">
      <c r="A711" t="s">
        <v>713</v>
      </c>
      <c r="B711" t="s">
        <v>727</v>
      </c>
      <c r="C711"/>
    </row>
    <row r="712" spans="1:6" hidden="1">
      <c r="A712" t="s">
        <v>713</v>
      </c>
      <c r="B712" t="s">
        <v>728</v>
      </c>
      <c r="C712"/>
    </row>
    <row r="713" spans="1:6" hidden="1">
      <c r="A713" t="s">
        <v>713</v>
      </c>
      <c r="B713" t="s">
        <v>729</v>
      </c>
      <c r="C713"/>
    </row>
    <row r="714" spans="1:6" hidden="1">
      <c r="A714" t="s">
        <v>713</v>
      </c>
      <c r="B714" t="s">
        <v>730</v>
      </c>
      <c r="C714"/>
    </row>
    <row r="715" spans="1:6" hidden="1">
      <c r="A715" t="s">
        <v>713</v>
      </c>
      <c r="B715" t="s">
        <v>731</v>
      </c>
      <c r="C715"/>
    </row>
    <row r="716" spans="1:6">
      <c r="A716" t="s">
        <v>713</v>
      </c>
      <c r="B716" s="2" t="s">
        <v>1531</v>
      </c>
      <c r="C716" s="2" t="s">
        <v>1532</v>
      </c>
      <c r="D716" s="6">
        <v>45726</v>
      </c>
      <c r="E716" s="4">
        <v>176068</v>
      </c>
      <c r="F716" t="s">
        <v>25</v>
      </c>
    </row>
    <row r="717" spans="1:6">
      <c r="A717" t="s">
        <v>713</v>
      </c>
      <c r="B717" s="2" t="s">
        <v>1531</v>
      </c>
      <c r="C717" s="2" t="s">
        <v>1533</v>
      </c>
      <c r="D717" s="6">
        <v>45726</v>
      </c>
      <c r="E717" s="4">
        <v>88616</v>
      </c>
      <c r="F717" t="s">
        <v>25</v>
      </c>
    </row>
    <row r="718" spans="1:6" hidden="1">
      <c r="A718" t="s">
        <v>713</v>
      </c>
      <c r="B718" t="s">
        <v>733</v>
      </c>
      <c r="C718"/>
    </row>
    <row r="719" spans="1:6" hidden="1">
      <c r="A719" t="s">
        <v>713</v>
      </c>
      <c r="B719" t="s">
        <v>734</v>
      </c>
      <c r="C719"/>
    </row>
    <row r="720" spans="1:6">
      <c r="A720" t="s">
        <v>713</v>
      </c>
      <c r="B720" t="s">
        <v>735</v>
      </c>
      <c r="C720" s="13">
        <v>11</v>
      </c>
      <c r="E720" s="4">
        <v>12000</v>
      </c>
      <c r="F720" t="s">
        <v>19</v>
      </c>
    </row>
    <row r="721" spans="1:6" hidden="1">
      <c r="A721" t="s">
        <v>713</v>
      </c>
      <c r="B721" t="s">
        <v>736</v>
      </c>
      <c r="C721"/>
    </row>
    <row r="722" spans="1:6" hidden="1">
      <c r="A722" t="s">
        <v>713</v>
      </c>
      <c r="B722" t="s">
        <v>737</v>
      </c>
      <c r="C722"/>
    </row>
    <row r="723" spans="1:6">
      <c r="A723" t="s">
        <v>713</v>
      </c>
      <c r="B723" s="2" t="s">
        <v>1534</v>
      </c>
      <c r="C723" s="2" t="s">
        <v>1535</v>
      </c>
      <c r="D723" s="6">
        <v>45661</v>
      </c>
      <c r="E723" s="4">
        <v>26808</v>
      </c>
      <c r="F723" t="s">
        <v>25</v>
      </c>
    </row>
    <row r="724" spans="1:6" hidden="1">
      <c r="A724" t="s">
        <v>713</v>
      </c>
      <c r="B724" t="s">
        <v>739</v>
      </c>
      <c r="C724"/>
    </row>
    <row r="725" spans="1:6" hidden="1">
      <c r="A725" t="s">
        <v>713</v>
      </c>
      <c r="B725" t="s">
        <v>740</v>
      </c>
      <c r="C725"/>
    </row>
    <row r="726" spans="1:6" hidden="1">
      <c r="A726" t="s">
        <v>713</v>
      </c>
      <c r="B726" t="s">
        <v>741</v>
      </c>
      <c r="C726"/>
    </row>
    <row r="727" spans="1:6" hidden="1">
      <c r="A727" t="s">
        <v>713</v>
      </c>
      <c r="B727" t="s">
        <v>742</v>
      </c>
      <c r="C727"/>
    </row>
    <row r="728" spans="1:6" hidden="1">
      <c r="A728" t="s">
        <v>713</v>
      </c>
      <c r="B728" t="s">
        <v>743</v>
      </c>
      <c r="C728"/>
    </row>
    <row r="729" spans="1:6" hidden="1">
      <c r="A729" t="s">
        <v>713</v>
      </c>
      <c r="B729" t="s">
        <v>744</v>
      </c>
      <c r="C729"/>
    </row>
    <row r="730" spans="1:6" hidden="1">
      <c r="A730" t="s">
        <v>713</v>
      </c>
      <c r="B730" t="s">
        <v>745</v>
      </c>
      <c r="C730"/>
    </row>
    <row r="731" spans="1:6" hidden="1">
      <c r="A731" t="s">
        <v>713</v>
      </c>
      <c r="B731" t="s">
        <v>746</v>
      </c>
      <c r="C731"/>
    </row>
    <row r="732" spans="1:6" hidden="1">
      <c r="A732" t="s">
        <v>713</v>
      </c>
      <c r="B732" t="s">
        <v>747</v>
      </c>
      <c r="C732"/>
    </row>
    <row r="733" spans="1:6">
      <c r="A733" t="s">
        <v>713</v>
      </c>
      <c r="B733" s="2" t="s">
        <v>1536</v>
      </c>
      <c r="C733" s="2" t="s">
        <v>1537</v>
      </c>
      <c r="D733" s="6">
        <v>45107</v>
      </c>
      <c r="E733" s="4">
        <v>37106.22</v>
      </c>
      <c r="F733" t="s">
        <v>25</v>
      </c>
    </row>
    <row r="734" spans="1:6" hidden="1">
      <c r="A734" t="s">
        <v>713</v>
      </c>
      <c r="B734" t="s">
        <v>749</v>
      </c>
      <c r="C734"/>
    </row>
    <row r="735" spans="1:6" hidden="1">
      <c r="A735" t="s">
        <v>713</v>
      </c>
      <c r="B735" t="s">
        <v>750</v>
      </c>
      <c r="C735"/>
    </row>
    <row r="736" spans="1:6" hidden="1">
      <c r="A736" t="s">
        <v>713</v>
      </c>
      <c r="B736" t="s">
        <v>751</v>
      </c>
      <c r="C736"/>
    </row>
    <row r="737" spans="1:6" hidden="1">
      <c r="A737" t="s">
        <v>713</v>
      </c>
      <c r="B737" t="s">
        <v>752</v>
      </c>
      <c r="C737"/>
    </row>
    <row r="738" spans="1:6">
      <c r="A738" t="s">
        <v>713</v>
      </c>
      <c r="B738" s="2" t="s">
        <v>1538</v>
      </c>
      <c r="C738" s="2" t="s">
        <v>1539</v>
      </c>
      <c r="D738" s="6">
        <v>45680</v>
      </c>
      <c r="E738" s="4">
        <v>211102</v>
      </c>
      <c r="F738" t="s">
        <v>25</v>
      </c>
    </row>
    <row r="739" spans="1:6">
      <c r="A739" t="s">
        <v>713</v>
      </c>
      <c r="B739" s="2" t="s">
        <v>1538</v>
      </c>
      <c r="C739" s="2" t="s">
        <v>1540</v>
      </c>
      <c r="D739" s="6">
        <v>45681</v>
      </c>
      <c r="E739" s="4">
        <v>30444</v>
      </c>
      <c r="F739" t="s">
        <v>25</v>
      </c>
    </row>
    <row r="740" spans="1:6" hidden="1">
      <c r="A740" t="s">
        <v>713</v>
      </c>
      <c r="B740" t="s">
        <v>754</v>
      </c>
      <c r="C740"/>
    </row>
    <row r="741" spans="1:6" hidden="1">
      <c r="A741" t="s">
        <v>713</v>
      </c>
      <c r="B741" t="s">
        <v>755</v>
      </c>
      <c r="C741"/>
    </row>
    <row r="742" spans="1:6" hidden="1">
      <c r="A742" t="s">
        <v>713</v>
      </c>
      <c r="B742" t="s">
        <v>756</v>
      </c>
      <c r="C742"/>
    </row>
    <row r="743" spans="1:6" hidden="1">
      <c r="A743" t="s">
        <v>713</v>
      </c>
      <c r="B743" t="s">
        <v>757</v>
      </c>
      <c r="C743"/>
    </row>
    <row r="744" spans="1:6" hidden="1">
      <c r="A744" t="s">
        <v>713</v>
      </c>
      <c r="B744" t="s">
        <v>758</v>
      </c>
      <c r="C744"/>
    </row>
    <row r="745" spans="1:6">
      <c r="A745" t="s">
        <v>713</v>
      </c>
      <c r="B745" s="2" t="s">
        <v>1541</v>
      </c>
      <c r="C745" s="2" t="s">
        <v>1542</v>
      </c>
      <c r="D745" s="6">
        <v>45544</v>
      </c>
      <c r="E745" s="4">
        <v>10491</v>
      </c>
      <c r="F745" t="s">
        <v>25</v>
      </c>
    </row>
    <row r="746" spans="1:6">
      <c r="A746" t="s">
        <v>713</v>
      </c>
      <c r="B746" s="2" t="s">
        <v>1541</v>
      </c>
      <c r="C746" s="2" t="s">
        <v>1543</v>
      </c>
      <c r="D746" s="6">
        <v>45544</v>
      </c>
      <c r="E746" s="4">
        <v>13114</v>
      </c>
      <c r="F746" t="s">
        <v>25</v>
      </c>
    </row>
    <row r="747" spans="1:6">
      <c r="A747" t="s">
        <v>713</v>
      </c>
      <c r="B747" s="2" t="s">
        <v>1541</v>
      </c>
      <c r="C747" s="2" t="s">
        <v>1544</v>
      </c>
      <c r="D747" s="6">
        <v>45544</v>
      </c>
      <c r="E747" s="4">
        <v>79051</v>
      </c>
      <c r="F747" t="s">
        <v>25</v>
      </c>
    </row>
    <row r="748" spans="1:6">
      <c r="A748" t="s">
        <v>713</v>
      </c>
      <c r="B748" s="2" t="s">
        <v>1541</v>
      </c>
      <c r="C748" s="2" t="s">
        <v>1545</v>
      </c>
      <c r="D748" s="6">
        <v>45544</v>
      </c>
      <c r="E748" s="4">
        <v>2950</v>
      </c>
      <c r="F748" t="s">
        <v>25</v>
      </c>
    </row>
    <row r="749" spans="1:6">
      <c r="A749" t="s">
        <v>713</v>
      </c>
      <c r="B749" s="2" t="s">
        <v>1541</v>
      </c>
      <c r="C749" s="2" t="s">
        <v>1546</v>
      </c>
      <c r="D749" s="6">
        <v>45544</v>
      </c>
      <c r="E749" s="4">
        <f>16520-8850</f>
        <v>7670</v>
      </c>
      <c r="F749" t="s">
        <v>25</v>
      </c>
    </row>
    <row r="750" spans="1:6">
      <c r="A750" t="s">
        <v>713</v>
      </c>
      <c r="B750" s="2" t="s">
        <v>1541</v>
      </c>
      <c r="C750" s="2" t="s">
        <v>1547</v>
      </c>
      <c r="D750" s="6">
        <v>45544</v>
      </c>
      <c r="E750" s="4">
        <v>27012</v>
      </c>
      <c r="F750" t="s">
        <v>25</v>
      </c>
    </row>
    <row r="751" spans="1:6">
      <c r="A751" t="s">
        <v>713</v>
      </c>
      <c r="B751" s="2" t="s">
        <v>1541</v>
      </c>
      <c r="C751" s="2" t="s">
        <v>1548</v>
      </c>
      <c r="D751" s="6">
        <v>45544</v>
      </c>
      <c r="E751" s="4">
        <f>5753.94-204.94</f>
        <v>5549</v>
      </c>
      <c r="F751" t="s">
        <v>25</v>
      </c>
    </row>
    <row r="752" spans="1:6">
      <c r="A752" t="s">
        <v>713</v>
      </c>
      <c r="B752" s="2" t="s">
        <v>1541</v>
      </c>
      <c r="C752" s="2" t="s">
        <v>1549</v>
      </c>
      <c r="D752" s="6">
        <v>45544</v>
      </c>
      <c r="E752" s="4">
        <v>12340</v>
      </c>
      <c r="F752" t="s">
        <v>25</v>
      </c>
    </row>
    <row r="753" spans="1:6">
      <c r="A753" t="s">
        <v>713</v>
      </c>
      <c r="B753" s="2" t="s">
        <v>1541</v>
      </c>
      <c r="C753" s="2" t="s">
        <v>1550</v>
      </c>
      <c r="D753" s="6">
        <v>45565</v>
      </c>
      <c r="E753" s="4">
        <v>7670</v>
      </c>
      <c r="F753" t="s">
        <v>25</v>
      </c>
    </row>
    <row r="754" spans="1:6" hidden="1">
      <c r="A754" t="s">
        <v>713</v>
      </c>
      <c r="B754" t="s">
        <v>760</v>
      </c>
      <c r="C754"/>
    </row>
    <row r="755" spans="1:6" hidden="1">
      <c r="A755" t="s">
        <v>713</v>
      </c>
      <c r="B755" t="s">
        <v>761</v>
      </c>
      <c r="C755"/>
    </row>
    <row r="756" spans="1:6">
      <c r="A756" t="s">
        <v>713</v>
      </c>
      <c r="B756" s="2" t="s">
        <v>762</v>
      </c>
      <c r="C756" s="2" t="s">
        <v>1551</v>
      </c>
      <c r="D756" s="6">
        <v>45553</v>
      </c>
      <c r="E756" s="4">
        <v>23364</v>
      </c>
      <c r="F756" t="s">
        <v>25</v>
      </c>
    </row>
    <row r="757" spans="1:6">
      <c r="A757" t="s">
        <v>713</v>
      </c>
      <c r="B757" s="2" t="s">
        <v>762</v>
      </c>
      <c r="C757" s="2" t="s">
        <v>1552</v>
      </c>
      <c r="D757" s="6">
        <v>45587</v>
      </c>
      <c r="E757" s="4">
        <v>23364</v>
      </c>
      <c r="F757" t="s">
        <v>25</v>
      </c>
    </row>
    <row r="758" spans="1:6">
      <c r="A758" t="s">
        <v>713</v>
      </c>
      <c r="B758" s="2" t="s">
        <v>762</v>
      </c>
      <c r="C758" s="2" t="s">
        <v>1553</v>
      </c>
      <c r="D758" s="6">
        <v>45617</v>
      </c>
      <c r="E758" s="4">
        <v>53100</v>
      </c>
      <c r="F758" t="s">
        <v>25</v>
      </c>
    </row>
    <row r="759" spans="1:6">
      <c r="A759" t="s">
        <v>713</v>
      </c>
      <c r="B759" s="2" t="s">
        <v>762</v>
      </c>
      <c r="C759" s="2" t="s">
        <v>1554</v>
      </c>
      <c r="D759" s="6">
        <v>45630</v>
      </c>
      <c r="E759" s="4">
        <v>67673</v>
      </c>
      <c r="F759" t="s">
        <v>25</v>
      </c>
    </row>
    <row r="760" spans="1:6">
      <c r="A760" t="s">
        <v>713</v>
      </c>
      <c r="B760" s="2" t="s">
        <v>762</v>
      </c>
      <c r="C760" s="2" t="s">
        <v>1555</v>
      </c>
      <c r="D760" s="6">
        <v>45665</v>
      </c>
      <c r="E760" s="4">
        <v>74752</v>
      </c>
      <c r="F760" t="s">
        <v>25</v>
      </c>
    </row>
    <row r="761" spans="1:6">
      <c r="A761" t="s">
        <v>713</v>
      </c>
      <c r="B761" s="2" t="s">
        <v>762</v>
      </c>
      <c r="C761" s="2" t="s">
        <v>1556</v>
      </c>
      <c r="D761" s="6">
        <v>45665</v>
      </c>
      <c r="E761" s="4">
        <v>23836</v>
      </c>
      <c r="F761" t="s">
        <v>25</v>
      </c>
    </row>
    <row r="762" spans="1:6">
      <c r="A762" t="s">
        <v>713</v>
      </c>
      <c r="B762" s="2" t="s">
        <v>762</v>
      </c>
      <c r="C762" s="2" t="s">
        <v>1557</v>
      </c>
      <c r="D762" s="6">
        <v>45665</v>
      </c>
      <c r="E762" s="4">
        <v>75048</v>
      </c>
      <c r="F762" t="s">
        <v>25</v>
      </c>
    </row>
    <row r="763" spans="1:6">
      <c r="A763" t="s">
        <v>713</v>
      </c>
      <c r="B763" s="2" t="s">
        <v>762</v>
      </c>
      <c r="C763" s="2" t="s">
        <v>1558</v>
      </c>
      <c r="D763" s="6">
        <v>45692</v>
      </c>
      <c r="E763" s="4">
        <v>43365</v>
      </c>
      <c r="F763" t="s">
        <v>25</v>
      </c>
    </row>
    <row r="764" spans="1:6">
      <c r="A764" t="s">
        <v>713</v>
      </c>
      <c r="B764" s="2" t="s">
        <v>762</v>
      </c>
      <c r="C764" s="2" t="s">
        <v>1559</v>
      </c>
      <c r="D764" s="6">
        <v>45699</v>
      </c>
      <c r="E764" s="4">
        <v>23836</v>
      </c>
      <c r="F764" t="s">
        <v>25</v>
      </c>
    </row>
    <row r="765" spans="1:6">
      <c r="A765" t="s">
        <v>713</v>
      </c>
      <c r="B765" s="2" t="s">
        <v>762</v>
      </c>
      <c r="C765" s="2" t="s">
        <v>1560</v>
      </c>
      <c r="D765" s="6">
        <v>45706</v>
      </c>
      <c r="E765" s="4">
        <v>13830</v>
      </c>
      <c r="F765" t="s">
        <v>25</v>
      </c>
    </row>
    <row r="766" spans="1:6">
      <c r="A766" t="s">
        <v>713</v>
      </c>
      <c r="B766" s="2" t="s">
        <v>762</v>
      </c>
      <c r="C766" s="2" t="s">
        <v>1561</v>
      </c>
      <c r="D766" s="6">
        <v>45706</v>
      </c>
      <c r="E766" s="4">
        <v>23836</v>
      </c>
      <c r="F766" t="s">
        <v>25</v>
      </c>
    </row>
    <row r="767" spans="1:6" hidden="1">
      <c r="A767" t="s">
        <v>713</v>
      </c>
      <c r="B767" t="s">
        <v>763</v>
      </c>
      <c r="C767"/>
    </row>
    <row r="768" spans="1:6" hidden="1">
      <c r="A768" t="s">
        <v>713</v>
      </c>
      <c r="B768" t="s">
        <v>764</v>
      </c>
      <c r="C768"/>
    </row>
    <row r="769" spans="1:6" hidden="1">
      <c r="A769" t="s">
        <v>713</v>
      </c>
      <c r="B769" t="s">
        <v>765</v>
      </c>
      <c r="C769"/>
    </row>
    <row r="770" spans="1:6">
      <c r="A770" t="s">
        <v>713</v>
      </c>
      <c r="B770" t="s">
        <v>766</v>
      </c>
      <c r="C770" s="13">
        <v>12</v>
      </c>
      <c r="E770" s="4">
        <v>1363608</v>
      </c>
      <c r="F770" t="s">
        <v>19</v>
      </c>
    </row>
    <row r="771" spans="1:6" hidden="1">
      <c r="A771" t="s">
        <v>713</v>
      </c>
      <c r="B771" t="s">
        <v>767</v>
      </c>
      <c r="C771"/>
    </row>
    <row r="772" spans="1:6" hidden="1">
      <c r="A772" t="s">
        <v>713</v>
      </c>
      <c r="B772" t="s">
        <v>768</v>
      </c>
      <c r="C772"/>
    </row>
    <row r="773" spans="1:6" hidden="1">
      <c r="A773" t="s">
        <v>713</v>
      </c>
      <c r="B773" t="s">
        <v>769</v>
      </c>
      <c r="C773"/>
    </row>
    <row r="774" spans="1:6" hidden="1">
      <c r="A774" t="s">
        <v>713</v>
      </c>
      <c r="B774" t="s">
        <v>770</v>
      </c>
      <c r="C774"/>
    </row>
    <row r="775" spans="1:6" hidden="1">
      <c r="A775" t="s">
        <v>713</v>
      </c>
      <c r="B775" t="s">
        <v>771</v>
      </c>
      <c r="C775"/>
    </row>
    <row r="776" spans="1:6" hidden="1">
      <c r="A776" t="s">
        <v>713</v>
      </c>
      <c r="B776" t="s">
        <v>772</v>
      </c>
      <c r="C776"/>
    </row>
    <row r="777" spans="1:6" hidden="1">
      <c r="A777" t="s">
        <v>713</v>
      </c>
      <c r="B777" t="s">
        <v>773</v>
      </c>
      <c r="C777"/>
    </row>
    <row r="778" spans="1:6" hidden="1">
      <c r="A778" t="s">
        <v>713</v>
      </c>
      <c r="B778" t="s">
        <v>774</v>
      </c>
      <c r="C778"/>
    </row>
    <row r="779" spans="1:6">
      <c r="A779" t="s">
        <v>713</v>
      </c>
      <c r="B779" s="2" t="s">
        <v>1562</v>
      </c>
      <c r="C779" s="2" t="s">
        <v>1563</v>
      </c>
      <c r="D779" s="6">
        <v>45681</v>
      </c>
      <c r="E779" s="4">
        <v>153610</v>
      </c>
      <c r="F779" t="s">
        <v>25</v>
      </c>
    </row>
    <row r="780" spans="1:6">
      <c r="A780" t="s">
        <v>713</v>
      </c>
      <c r="B780" s="2" t="s">
        <v>1562</v>
      </c>
      <c r="C780" s="2" t="s">
        <v>1564</v>
      </c>
      <c r="D780" s="6">
        <v>45714</v>
      </c>
      <c r="E780" s="4">
        <v>216000</v>
      </c>
      <c r="F780" t="s">
        <v>25</v>
      </c>
    </row>
    <row r="781" spans="1:6">
      <c r="A781" t="s">
        <v>713</v>
      </c>
      <c r="B781" t="s">
        <v>776</v>
      </c>
      <c r="C781" s="13">
        <v>13</v>
      </c>
      <c r="E781" s="4">
        <v>36879</v>
      </c>
      <c r="F781" t="s">
        <v>19</v>
      </c>
    </row>
    <row r="782" spans="1:6">
      <c r="A782" t="s">
        <v>713</v>
      </c>
      <c r="B782" t="s">
        <v>777</v>
      </c>
      <c r="C782" s="13">
        <v>14</v>
      </c>
      <c r="E782" s="4">
        <v>1214</v>
      </c>
      <c r="F782" t="s">
        <v>19</v>
      </c>
    </row>
    <row r="783" spans="1:6">
      <c r="A783" t="s">
        <v>713</v>
      </c>
      <c r="B783" t="s">
        <v>778</v>
      </c>
      <c r="C783" s="13">
        <v>15</v>
      </c>
      <c r="E783" s="4">
        <v>2150</v>
      </c>
      <c r="F783" t="s">
        <v>19</v>
      </c>
    </row>
    <row r="784" spans="1:6">
      <c r="A784" t="s">
        <v>713</v>
      </c>
      <c r="B784" s="2" t="s">
        <v>1565</v>
      </c>
      <c r="C784" s="2" t="s">
        <v>1566</v>
      </c>
      <c r="D784" s="6">
        <v>45740</v>
      </c>
      <c r="E784" s="4">
        <v>35865</v>
      </c>
      <c r="F784" t="s">
        <v>25</v>
      </c>
    </row>
    <row r="785" spans="1:6">
      <c r="A785" t="s">
        <v>713</v>
      </c>
      <c r="B785" s="2" t="s">
        <v>1567</v>
      </c>
      <c r="C785" s="2" t="s">
        <v>1568</v>
      </c>
      <c r="D785" s="6">
        <v>45694</v>
      </c>
      <c r="E785" s="4">
        <v>8924</v>
      </c>
      <c r="F785" t="s">
        <v>25</v>
      </c>
    </row>
    <row r="786" spans="1:6">
      <c r="A786" t="s">
        <v>713</v>
      </c>
      <c r="B786" s="2" t="s">
        <v>1567</v>
      </c>
      <c r="C786" s="2" t="s">
        <v>1569</v>
      </c>
      <c r="D786" s="6">
        <v>45702</v>
      </c>
      <c r="E786" s="4">
        <v>8924</v>
      </c>
      <c r="F786" t="s">
        <v>25</v>
      </c>
    </row>
    <row r="787" spans="1:6">
      <c r="A787" t="s">
        <v>713</v>
      </c>
      <c r="B787" s="2" t="s">
        <v>1567</v>
      </c>
      <c r="C787" s="2" t="s">
        <v>1570</v>
      </c>
      <c r="D787" s="6">
        <v>45719</v>
      </c>
      <c r="E787" s="4">
        <v>8924</v>
      </c>
      <c r="F787" t="s">
        <v>25</v>
      </c>
    </row>
    <row r="788" spans="1:6">
      <c r="A788" t="s">
        <v>713</v>
      </c>
      <c r="B788" s="2" t="s">
        <v>1567</v>
      </c>
      <c r="C788" s="2" t="s">
        <v>1571</v>
      </c>
      <c r="D788" s="6">
        <v>45747</v>
      </c>
      <c r="E788" s="4">
        <v>8865</v>
      </c>
      <c r="F788" t="s">
        <v>25</v>
      </c>
    </row>
    <row r="789" spans="1:6">
      <c r="A789" t="s">
        <v>713</v>
      </c>
      <c r="B789" t="s">
        <v>781</v>
      </c>
      <c r="C789" s="2" t="s">
        <v>1572</v>
      </c>
      <c r="D789" s="6">
        <v>45670</v>
      </c>
      <c r="E789" s="4">
        <v>330400</v>
      </c>
      <c r="F789" t="s">
        <v>25</v>
      </c>
    </row>
    <row r="790" spans="1:6">
      <c r="A790" t="s">
        <v>713</v>
      </c>
      <c r="B790" t="s">
        <v>781</v>
      </c>
      <c r="C790" s="2" t="s">
        <v>1573</v>
      </c>
      <c r="D790" s="6">
        <v>45670</v>
      </c>
      <c r="E790" s="4">
        <v>168200</v>
      </c>
      <c r="F790" t="s">
        <v>25</v>
      </c>
    </row>
    <row r="791" spans="1:6" hidden="1">
      <c r="A791" t="s">
        <v>713</v>
      </c>
      <c r="B791" t="s">
        <v>782</v>
      </c>
      <c r="C791"/>
    </row>
    <row r="792" spans="1:6">
      <c r="A792" t="s">
        <v>713</v>
      </c>
      <c r="B792" t="s">
        <v>783</v>
      </c>
      <c r="C792" s="2" t="s">
        <v>1574</v>
      </c>
      <c r="D792" s="6">
        <v>45657</v>
      </c>
      <c r="E792" s="4">
        <v>313880</v>
      </c>
      <c r="F792" t="s">
        <v>25</v>
      </c>
    </row>
    <row r="793" spans="1:6">
      <c r="A793" t="s">
        <v>713</v>
      </c>
      <c r="B793" t="s">
        <v>783</v>
      </c>
      <c r="C793" s="2" t="s">
        <v>1575</v>
      </c>
      <c r="D793" s="6">
        <v>45736</v>
      </c>
      <c r="E793" s="4">
        <v>15930</v>
      </c>
      <c r="F793" t="s">
        <v>25</v>
      </c>
    </row>
    <row r="794" spans="1:6">
      <c r="A794" t="s">
        <v>713</v>
      </c>
      <c r="B794" t="s">
        <v>784</v>
      </c>
      <c r="C794" s="2" t="s">
        <v>1576</v>
      </c>
      <c r="D794" s="6">
        <v>45747</v>
      </c>
      <c r="E794" s="4">
        <v>10007</v>
      </c>
      <c r="F794" t="s">
        <v>25</v>
      </c>
    </row>
    <row r="795" spans="1:6" hidden="1">
      <c r="A795" t="s">
        <v>713</v>
      </c>
      <c r="B795" t="s">
        <v>785</v>
      </c>
      <c r="C795"/>
    </row>
    <row r="796" spans="1:6" hidden="1">
      <c r="A796" t="s">
        <v>713</v>
      </c>
      <c r="B796" t="s">
        <v>786</v>
      </c>
      <c r="C796"/>
    </row>
    <row r="797" spans="1:6">
      <c r="A797" t="s">
        <v>713</v>
      </c>
      <c r="B797" t="s">
        <v>787</v>
      </c>
      <c r="C797" s="2" t="s">
        <v>1577</v>
      </c>
      <c r="D797" s="6">
        <v>45569</v>
      </c>
      <c r="E797" s="4">
        <v>119116.04</v>
      </c>
      <c r="F797" t="s">
        <v>25</v>
      </c>
    </row>
    <row r="798" spans="1:6">
      <c r="A798" t="s">
        <v>713</v>
      </c>
      <c r="B798" t="s">
        <v>788</v>
      </c>
      <c r="C798" s="2" t="s">
        <v>1578</v>
      </c>
      <c r="D798" s="6">
        <v>45657</v>
      </c>
      <c r="E798" s="4">
        <v>8010</v>
      </c>
      <c r="F798" t="s">
        <v>25</v>
      </c>
    </row>
    <row r="799" spans="1:6">
      <c r="A799" t="s">
        <v>713</v>
      </c>
      <c r="B799" t="s">
        <v>788</v>
      </c>
      <c r="C799" s="2" t="s">
        <v>1579</v>
      </c>
      <c r="D799" s="6">
        <v>45716</v>
      </c>
      <c r="E799" s="4">
        <v>5610</v>
      </c>
      <c r="F799" t="s">
        <v>25</v>
      </c>
    </row>
    <row r="800" spans="1:6">
      <c r="A800" t="s">
        <v>713</v>
      </c>
      <c r="B800" t="s">
        <v>788</v>
      </c>
      <c r="C800" s="2" t="s">
        <v>1580</v>
      </c>
      <c r="D800" s="6">
        <v>45747</v>
      </c>
      <c r="E800" s="4">
        <v>3750</v>
      </c>
      <c r="F800" t="s">
        <v>25</v>
      </c>
    </row>
    <row r="801" spans="1:6">
      <c r="A801" t="s">
        <v>713</v>
      </c>
      <c r="B801" t="s">
        <v>789</v>
      </c>
      <c r="C801" s="13">
        <v>16</v>
      </c>
      <c r="E801" s="4">
        <v>4354</v>
      </c>
      <c r="F801" t="s">
        <v>19</v>
      </c>
    </row>
    <row r="802" spans="1:6" hidden="1">
      <c r="A802" t="s">
        <v>713</v>
      </c>
      <c r="B802" t="s">
        <v>790</v>
      </c>
      <c r="C802"/>
    </row>
    <row r="803" spans="1:6">
      <c r="A803" t="s">
        <v>713</v>
      </c>
      <c r="B803" t="s">
        <v>791</v>
      </c>
      <c r="C803" s="13">
        <v>17</v>
      </c>
      <c r="E803" s="4">
        <v>38061</v>
      </c>
      <c r="F803" t="s">
        <v>19</v>
      </c>
    </row>
    <row r="804" spans="1:6" hidden="1">
      <c r="A804" t="s">
        <v>713</v>
      </c>
      <c r="B804" t="s">
        <v>792</v>
      </c>
      <c r="C804"/>
    </row>
    <row r="805" spans="1:6">
      <c r="A805" t="s">
        <v>713</v>
      </c>
      <c r="B805" t="s">
        <v>793</v>
      </c>
      <c r="C805" s="2" t="s">
        <v>1581</v>
      </c>
      <c r="D805" s="6">
        <v>45743</v>
      </c>
      <c r="E805" s="4">
        <v>44079</v>
      </c>
      <c r="F805" t="s">
        <v>25</v>
      </c>
    </row>
    <row r="806" spans="1:6" hidden="1">
      <c r="A806" t="s">
        <v>713</v>
      </c>
      <c r="B806" t="s">
        <v>794</v>
      </c>
      <c r="C806"/>
    </row>
    <row r="807" spans="1:6" hidden="1">
      <c r="A807" t="s">
        <v>713</v>
      </c>
      <c r="B807" t="s">
        <v>795</v>
      </c>
      <c r="C807"/>
    </row>
    <row r="808" spans="1:6">
      <c r="A808" t="s">
        <v>713</v>
      </c>
      <c r="B808" t="s">
        <v>796</v>
      </c>
      <c r="C808" s="2" t="s">
        <v>1582</v>
      </c>
      <c r="D808" s="6">
        <v>45246</v>
      </c>
      <c r="E808" s="4">
        <v>21020</v>
      </c>
      <c r="F808" t="s">
        <v>25</v>
      </c>
    </row>
    <row r="809" spans="1:6">
      <c r="A809" t="s">
        <v>713</v>
      </c>
      <c r="B809" t="s">
        <v>797</v>
      </c>
      <c r="C809" s="13" t="s">
        <v>1583</v>
      </c>
      <c r="D809" s="3">
        <v>45568</v>
      </c>
      <c r="E809" s="4">
        <v>7522202</v>
      </c>
      <c r="F809" s="13" t="s">
        <v>25</v>
      </c>
    </row>
    <row r="810" spans="1:6">
      <c r="A810" t="s">
        <v>713</v>
      </c>
      <c r="B810" t="s">
        <v>798</v>
      </c>
      <c r="C810" s="13" t="s">
        <v>1584</v>
      </c>
      <c r="D810" s="3">
        <v>45499</v>
      </c>
      <c r="E810" s="4">
        <v>22146539.860000014</v>
      </c>
      <c r="F810" s="13" t="s">
        <v>25</v>
      </c>
    </row>
    <row r="811" spans="1:6" hidden="1">
      <c r="A811" t="s">
        <v>713</v>
      </c>
      <c r="B811" t="s">
        <v>799</v>
      </c>
      <c r="C811"/>
    </row>
    <row r="812" spans="1:6" hidden="1">
      <c r="A812" t="s">
        <v>713</v>
      </c>
      <c r="B812" t="s">
        <v>800</v>
      </c>
      <c r="C812"/>
    </row>
    <row r="813" spans="1:6">
      <c r="A813" t="s">
        <v>713</v>
      </c>
      <c r="B813" t="s">
        <v>801</v>
      </c>
      <c r="C813" s="2" t="s">
        <v>1585</v>
      </c>
      <c r="D813" s="6">
        <v>45736</v>
      </c>
      <c r="E813" s="4">
        <v>41350.6</v>
      </c>
      <c r="F813" s="13" t="s">
        <v>25</v>
      </c>
    </row>
    <row r="814" spans="1:6">
      <c r="A814" t="s">
        <v>713</v>
      </c>
      <c r="B814" t="s">
        <v>802</v>
      </c>
      <c r="C814" s="2" t="s">
        <v>1586</v>
      </c>
      <c r="D814" s="6">
        <v>45568</v>
      </c>
      <c r="E814" s="4">
        <v>147135</v>
      </c>
      <c r="F814" t="s">
        <v>19</v>
      </c>
    </row>
    <row r="815" spans="1:6" hidden="1">
      <c r="A815" t="s">
        <v>713</v>
      </c>
      <c r="B815" t="s">
        <v>803</v>
      </c>
      <c r="C815"/>
    </row>
    <row r="816" spans="1:6" hidden="1">
      <c r="A816" t="s">
        <v>713</v>
      </c>
      <c r="B816" t="s">
        <v>804</v>
      </c>
      <c r="C816"/>
    </row>
    <row r="817" spans="1:6">
      <c r="A817" t="s">
        <v>713</v>
      </c>
      <c r="B817" t="s">
        <v>805</v>
      </c>
      <c r="C817" s="13" t="s">
        <v>1587</v>
      </c>
      <c r="D817" s="3">
        <v>45498</v>
      </c>
      <c r="E817" s="4">
        <v>52706089</v>
      </c>
      <c r="F817" s="13" t="s">
        <v>25</v>
      </c>
    </row>
    <row r="818" spans="1:6">
      <c r="A818" t="s">
        <v>713</v>
      </c>
      <c r="B818" t="s">
        <v>805</v>
      </c>
      <c r="C818" s="13" t="s">
        <v>1588</v>
      </c>
      <c r="D818" s="3">
        <v>45729</v>
      </c>
      <c r="E818" s="4">
        <v>889130</v>
      </c>
      <c r="F818" s="13" t="s">
        <v>25</v>
      </c>
    </row>
    <row r="819" spans="1:6">
      <c r="A819" t="s">
        <v>713</v>
      </c>
      <c r="B819" t="s">
        <v>805</v>
      </c>
      <c r="C819" s="13" t="s">
        <v>1589</v>
      </c>
      <c r="D819" s="3">
        <v>45740</v>
      </c>
      <c r="E819" s="4">
        <v>223989</v>
      </c>
      <c r="F819" s="13" t="s">
        <v>25</v>
      </c>
    </row>
    <row r="820" spans="1:6" hidden="1">
      <c r="A820" t="s">
        <v>713</v>
      </c>
      <c r="B820" t="s">
        <v>806</v>
      </c>
      <c r="C820"/>
    </row>
    <row r="821" spans="1:6">
      <c r="A821" t="s">
        <v>713</v>
      </c>
      <c r="B821" t="s">
        <v>807</v>
      </c>
      <c r="C821" s="2" t="s">
        <v>1590</v>
      </c>
      <c r="D821" s="6">
        <v>45548</v>
      </c>
      <c r="E821" s="4">
        <v>9029</v>
      </c>
      <c r="F821" s="13" t="s">
        <v>25</v>
      </c>
    </row>
    <row r="822" spans="1:6">
      <c r="A822" t="s">
        <v>713</v>
      </c>
      <c r="B822" t="s">
        <v>807</v>
      </c>
      <c r="C822" s="2" t="s">
        <v>1591</v>
      </c>
      <c r="D822" s="6">
        <v>45624</v>
      </c>
      <c r="E822" s="4">
        <v>300327</v>
      </c>
      <c r="F822" s="13" t="s">
        <v>25</v>
      </c>
    </row>
    <row r="823" spans="1:6" hidden="1">
      <c r="A823" t="s">
        <v>713</v>
      </c>
      <c r="B823" t="s">
        <v>808</v>
      </c>
      <c r="C823"/>
    </row>
    <row r="824" spans="1:6">
      <c r="A824" t="s">
        <v>713</v>
      </c>
      <c r="B824" t="s">
        <v>809</v>
      </c>
      <c r="C824" s="13">
        <v>3035</v>
      </c>
      <c r="D824" s="3">
        <v>45717</v>
      </c>
      <c r="E824" s="4">
        <v>39571.279999999999</v>
      </c>
      <c r="F824" s="13" t="s">
        <v>25</v>
      </c>
    </row>
    <row r="825" spans="1:6">
      <c r="A825" t="s">
        <v>713</v>
      </c>
      <c r="B825" t="s">
        <v>809</v>
      </c>
      <c r="C825" s="13" t="s">
        <v>1592</v>
      </c>
      <c r="D825" s="3">
        <v>45743</v>
      </c>
      <c r="E825" s="4">
        <v>1950</v>
      </c>
      <c r="F825" s="13" t="s">
        <v>25</v>
      </c>
    </row>
    <row r="826" spans="1:6" hidden="1">
      <c r="A826" t="s">
        <v>713</v>
      </c>
      <c r="B826" t="s">
        <v>810</v>
      </c>
      <c r="C826"/>
    </row>
    <row r="827" spans="1:6">
      <c r="A827" t="s">
        <v>713</v>
      </c>
      <c r="B827" t="s">
        <v>811</v>
      </c>
      <c r="C827" s="13">
        <v>18</v>
      </c>
      <c r="E827" s="4">
        <v>30000</v>
      </c>
      <c r="F827" t="s">
        <v>19</v>
      </c>
    </row>
    <row r="828" spans="1:6" hidden="1">
      <c r="A828" t="s">
        <v>713</v>
      </c>
      <c r="B828" t="s">
        <v>812</v>
      </c>
      <c r="C828"/>
    </row>
    <row r="829" spans="1:6" hidden="1">
      <c r="A829" t="s">
        <v>713</v>
      </c>
      <c r="B829" t="s">
        <v>813</v>
      </c>
      <c r="C829"/>
    </row>
    <row r="830" spans="1:6" hidden="1">
      <c r="A830" t="s">
        <v>713</v>
      </c>
      <c r="B830" t="s">
        <v>814</v>
      </c>
      <c r="C830"/>
    </row>
    <row r="831" spans="1:6">
      <c r="A831" t="s">
        <v>713</v>
      </c>
      <c r="B831" t="s">
        <v>815</v>
      </c>
      <c r="C831" s="2" t="s">
        <v>1593</v>
      </c>
      <c r="D831" s="6">
        <v>45713</v>
      </c>
      <c r="E831" s="4">
        <v>850</v>
      </c>
      <c r="F831" s="13" t="s">
        <v>25</v>
      </c>
    </row>
    <row r="832" spans="1:6">
      <c r="A832" t="s">
        <v>713</v>
      </c>
      <c r="B832" t="s">
        <v>815</v>
      </c>
      <c r="C832" s="2" t="s">
        <v>1594</v>
      </c>
      <c r="D832" s="6">
        <v>45741</v>
      </c>
      <c r="E832" s="4">
        <v>1180</v>
      </c>
      <c r="F832" s="13" t="s">
        <v>25</v>
      </c>
    </row>
    <row r="833" spans="1:6" hidden="1">
      <c r="A833" t="s">
        <v>713</v>
      </c>
      <c r="B833" t="s">
        <v>816</v>
      </c>
      <c r="C833"/>
    </row>
    <row r="834" spans="1:6" hidden="1">
      <c r="A834" t="s">
        <v>713</v>
      </c>
      <c r="B834" t="s">
        <v>817</v>
      </c>
      <c r="C834"/>
    </row>
    <row r="835" spans="1:6" hidden="1">
      <c r="A835" t="s">
        <v>713</v>
      </c>
      <c r="B835" t="s">
        <v>818</v>
      </c>
      <c r="C835"/>
    </row>
    <row r="836" spans="1:6" hidden="1">
      <c r="A836" t="s">
        <v>713</v>
      </c>
      <c r="B836" t="s">
        <v>819</v>
      </c>
      <c r="C836"/>
    </row>
    <row r="837" spans="1:6" hidden="1">
      <c r="A837" t="s">
        <v>713</v>
      </c>
      <c r="B837" t="s">
        <v>820</v>
      </c>
      <c r="C837"/>
    </row>
    <row r="838" spans="1:6">
      <c r="A838" t="s">
        <v>713</v>
      </c>
      <c r="B838" t="s">
        <v>821</v>
      </c>
      <c r="C838" s="2" t="s">
        <v>1566</v>
      </c>
      <c r="D838" s="6">
        <v>44237</v>
      </c>
      <c r="E838" s="4">
        <v>175193</v>
      </c>
      <c r="F838" s="13" t="s">
        <v>25</v>
      </c>
    </row>
    <row r="839" spans="1:6" hidden="1">
      <c r="A839" t="s">
        <v>713</v>
      </c>
      <c r="B839" t="s">
        <v>822</v>
      </c>
      <c r="C839"/>
    </row>
    <row r="840" spans="1:6" hidden="1">
      <c r="A840" t="s">
        <v>713</v>
      </c>
      <c r="B840" t="s">
        <v>823</v>
      </c>
      <c r="C840"/>
    </row>
    <row r="841" spans="1:6" hidden="1">
      <c r="A841" t="s">
        <v>713</v>
      </c>
      <c r="B841" t="s">
        <v>824</v>
      </c>
      <c r="C841"/>
    </row>
    <row r="842" spans="1:6" hidden="1">
      <c r="A842" t="s">
        <v>713</v>
      </c>
      <c r="B842" t="s">
        <v>825</v>
      </c>
      <c r="C842"/>
    </row>
    <row r="843" spans="1:6">
      <c r="A843" t="s">
        <v>713</v>
      </c>
      <c r="B843" t="s">
        <v>826</v>
      </c>
      <c r="C843" s="2" t="s">
        <v>1595</v>
      </c>
      <c r="D843" s="6">
        <v>45747</v>
      </c>
      <c r="E843" s="4">
        <v>10000</v>
      </c>
      <c r="F843" s="13" t="s">
        <v>25</v>
      </c>
    </row>
    <row r="844" spans="1:6">
      <c r="A844" t="s">
        <v>713</v>
      </c>
      <c r="B844" t="s">
        <v>827</v>
      </c>
      <c r="C844" s="2" t="s">
        <v>1596</v>
      </c>
      <c r="D844" s="6">
        <v>44470</v>
      </c>
      <c r="E844" s="4">
        <v>4587604.8</v>
      </c>
      <c r="F844" s="13" t="s">
        <v>25</v>
      </c>
    </row>
    <row r="845" spans="1:6">
      <c r="A845" t="s">
        <v>713</v>
      </c>
      <c r="B845" t="s">
        <v>828</v>
      </c>
      <c r="C845" s="2" t="s">
        <v>1597</v>
      </c>
      <c r="D845" s="6">
        <v>45507</v>
      </c>
      <c r="E845" s="4">
        <f>67500-5200</f>
        <v>62300</v>
      </c>
      <c r="F845" s="13" t="s">
        <v>25</v>
      </c>
    </row>
    <row r="846" spans="1:6">
      <c r="A846" t="s">
        <v>713</v>
      </c>
      <c r="B846" t="s">
        <v>828</v>
      </c>
      <c r="C846" s="2" t="s">
        <v>1598</v>
      </c>
      <c r="D846" s="6">
        <v>45538</v>
      </c>
      <c r="E846" s="4">
        <v>67500</v>
      </c>
      <c r="F846" s="13" t="s">
        <v>25</v>
      </c>
    </row>
    <row r="847" spans="1:6">
      <c r="A847" t="s">
        <v>713</v>
      </c>
      <c r="B847" t="s">
        <v>828</v>
      </c>
      <c r="C847" s="2" t="s">
        <v>1599</v>
      </c>
      <c r="D847" s="6">
        <v>45566</v>
      </c>
      <c r="E847" s="4">
        <v>67500</v>
      </c>
      <c r="F847" s="13" t="s">
        <v>25</v>
      </c>
    </row>
    <row r="848" spans="1:6">
      <c r="A848" t="s">
        <v>713</v>
      </c>
      <c r="B848" t="s">
        <v>828</v>
      </c>
      <c r="C848" s="2" t="s">
        <v>1568</v>
      </c>
      <c r="D848" s="6">
        <v>45600</v>
      </c>
      <c r="E848" s="4">
        <v>67500</v>
      </c>
      <c r="F848" s="13" t="s">
        <v>25</v>
      </c>
    </row>
    <row r="849" spans="1:6">
      <c r="A849" t="s">
        <v>713</v>
      </c>
      <c r="B849" t="s">
        <v>828</v>
      </c>
      <c r="C849" s="2" t="s">
        <v>1600</v>
      </c>
      <c r="D849" s="6">
        <v>45629</v>
      </c>
      <c r="E849" s="4">
        <v>67500</v>
      </c>
      <c r="F849" s="13" t="s">
        <v>25</v>
      </c>
    </row>
    <row r="850" spans="1:6">
      <c r="A850" t="s">
        <v>713</v>
      </c>
      <c r="B850" t="s">
        <v>828</v>
      </c>
      <c r="C850" s="2" t="s">
        <v>1601</v>
      </c>
      <c r="D850" s="6">
        <v>45664</v>
      </c>
      <c r="E850" s="4">
        <v>67500</v>
      </c>
      <c r="F850" s="13" t="s">
        <v>25</v>
      </c>
    </row>
    <row r="851" spans="1:6">
      <c r="A851" t="s">
        <v>713</v>
      </c>
      <c r="B851" t="s">
        <v>828</v>
      </c>
      <c r="C851" s="2" t="s">
        <v>1602</v>
      </c>
      <c r="D851" s="6">
        <v>45691</v>
      </c>
      <c r="E851" s="4">
        <v>67500</v>
      </c>
      <c r="F851" s="13" t="s">
        <v>25</v>
      </c>
    </row>
    <row r="852" spans="1:6">
      <c r="A852" t="s">
        <v>713</v>
      </c>
      <c r="B852" t="s">
        <v>828</v>
      </c>
      <c r="C852" s="2" t="s">
        <v>1603</v>
      </c>
      <c r="D852" s="6">
        <v>45721</v>
      </c>
      <c r="E852" s="4">
        <v>67500</v>
      </c>
      <c r="F852" s="13" t="s">
        <v>25</v>
      </c>
    </row>
    <row r="853" spans="1:6">
      <c r="A853" t="s">
        <v>713</v>
      </c>
      <c r="B853" t="s">
        <v>829</v>
      </c>
      <c r="C853" s="2" t="s">
        <v>1604</v>
      </c>
      <c r="D853" s="6">
        <v>45743</v>
      </c>
      <c r="E853" s="4">
        <v>13275</v>
      </c>
      <c r="F853" s="13" t="s">
        <v>25</v>
      </c>
    </row>
    <row r="854" spans="1:6" hidden="1">
      <c r="A854" t="s">
        <v>713</v>
      </c>
      <c r="B854" t="s">
        <v>830</v>
      </c>
      <c r="C854"/>
    </row>
    <row r="855" spans="1:6" hidden="1">
      <c r="A855" t="s">
        <v>713</v>
      </c>
      <c r="B855" t="s">
        <v>831</v>
      </c>
      <c r="C855"/>
    </row>
    <row r="856" spans="1:6" hidden="1">
      <c r="A856" t="s">
        <v>713</v>
      </c>
      <c r="B856" t="s">
        <v>832</v>
      </c>
      <c r="C856"/>
    </row>
    <row r="857" spans="1:6">
      <c r="A857" t="s">
        <v>713</v>
      </c>
      <c r="B857" t="s">
        <v>833</v>
      </c>
      <c r="C857" s="2" t="s">
        <v>1605</v>
      </c>
      <c r="D857" s="6">
        <v>45628</v>
      </c>
      <c r="E857" s="4">
        <v>3776</v>
      </c>
      <c r="F857" s="13" t="s">
        <v>25</v>
      </c>
    </row>
    <row r="858" spans="1:6">
      <c r="A858" t="s">
        <v>713</v>
      </c>
      <c r="B858" t="s">
        <v>833</v>
      </c>
      <c r="C858" s="2" t="s">
        <v>1606</v>
      </c>
      <c r="D858" s="6">
        <v>45659</v>
      </c>
      <c r="E858" s="4">
        <v>3776</v>
      </c>
      <c r="F858" s="13" t="s">
        <v>25</v>
      </c>
    </row>
    <row r="859" spans="1:6">
      <c r="A859" t="s">
        <v>713</v>
      </c>
      <c r="B859" t="s">
        <v>833</v>
      </c>
      <c r="C859" s="2" t="s">
        <v>1607</v>
      </c>
      <c r="D859" s="6">
        <v>45691</v>
      </c>
      <c r="E859" s="4">
        <v>3776</v>
      </c>
      <c r="F859" s="13" t="s">
        <v>25</v>
      </c>
    </row>
    <row r="860" spans="1:6">
      <c r="A860" t="s">
        <v>713</v>
      </c>
      <c r="B860" t="s">
        <v>833</v>
      </c>
      <c r="C860" s="2" t="s">
        <v>1608</v>
      </c>
      <c r="D860" s="6">
        <v>45717</v>
      </c>
      <c r="E860" s="4">
        <v>3776</v>
      </c>
      <c r="F860" s="13" t="s">
        <v>25</v>
      </c>
    </row>
    <row r="861" spans="1:6">
      <c r="A861" t="s">
        <v>713</v>
      </c>
      <c r="B861" t="s">
        <v>833</v>
      </c>
      <c r="C861" s="2" t="s">
        <v>1609</v>
      </c>
      <c r="D861" s="6">
        <v>45747</v>
      </c>
      <c r="E861" s="4">
        <v>3776</v>
      </c>
      <c r="F861" s="13" t="s">
        <v>25</v>
      </c>
    </row>
    <row r="862" spans="1:6" hidden="1">
      <c r="A862" t="s">
        <v>713</v>
      </c>
      <c r="B862" t="s">
        <v>834</v>
      </c>
      <c r="C862"/>
    </row>
    <row r="863" spans="1:6">
      <c r="A863" t="s">
        <v>713</v>
      </c>
      <c r="B863" t="s">
        <v>835</v>
      </c>
      <c r="C863" s="2" t="s">
        <v>1535</v>
      </c>
      <c r="D863" s="6">
        <v>45678</v>
      </c>
      <c r="E863" s="4">
        <v>337798.98</v>
      </c>
      <c r="F863" s="13" t="s">
        <v>25</v>
      </c>
    </row>
    <row r="864" spans="1:6" hidden="1">
      <c r="A864" t="s">
        <v>713</v>
      </c>
      <c r="B864" t="s">
        <v>836</v>
      </c>
      <c r="C864"/>
    </row>
    <row r="865" spans="1:6">
      <c r="A865" t="s">
        <v>713</v>
      </c>
      <c r="B865" t="s">
        <v>837</v>
      </c>
      <c r="C865" s="13" t="s">
        <v>1610</v>
      </c>
      <c r="D865" s="3">
        <v>45643</v>
      </c>
      <c r="E865" s="4">
        <v>179765</v>
      </c>
      <c r="F865" s="13" t="s">
        <v>25</v>
      </c>
    </row>
    <row r="866" spans="1:6">
      <c r="A866" t="s">
        <v>713</v>
      </c>
      <c r="B866" t="s">
        <v>837</v>
      </c>
      <c r="C866" s="13" t="s">
        <v>1611</v>
      </c>
      <c r="D866" s="3">
        <v>45646</v>
      </c>
      <c r="E866" s="4">
        <v>3027</v>
      </c>
      <c r="F866" s="13" t="s">
        <v>25</v>
      </c>
    </row>
    <row r="867" spans="1:6">
      <c r="A867" t="s">
        <v>713</v>
      </c>
      <c r="B867" t="s">
        <v>837</v>
      </c>
      <c r="C867" s="13" t="s">
        <v>1612</v>
      </c>
      <c r="D867" s="3">
        <v>45670</v>
      </c>
      <c r="E867" s="4">
        <v>85550</v>
      </c>
      <c r="F867" s="13" t="s">
        <v>25</v>
      </c>
    </row>
    <row r="868" spans="1:6">
      <c r="A868" t="s">
        <v>713</v>
      </c>
      <c r="B868" t="s">
        <v>837</v>
      </c>
      <c r="C868" s="13" t="s">
        <v>1613</v>
      </c>
      <c r="D868" s="3">
        <v>45671</v>
      </c>
      <c r="E868" s="4">
        <v>85550</v>
      </c>
      <c r="F868" s="13" t="s">
        <v>25</v>
      </c>
    </row>
    <row r="869" spans="1:6">
      <c r="A869" t="s">
        <v>713</v>
      </c>
      <c r="B869" t="s">
        <v>837</v>
      </c>
      <c r="C869" s="13" t="s">
        <v>1614</v>
      </c>
      <c r="D869" s="3">
        <v>45679</v>
      </c>
      <c r="E869" s="4">
        <v>21830</v>
      </c>
      <c r="F869" s="13" t="s">
        <v>25</v>
      </c>
    </row>
    <row r="870" spans="1:6">
      <c r="A870" t="s">
        <v>713</v>
      </c>
      <c r="B870" t="s">
        <v>837</v>
      </c>
      <c r="C870" s="13" t="s">
        <v>1615</v>
      </c>
      <c r="D870" s="3">
        <v>45687</v>
      </c>
      <c r="E870" s="4">
        <v>369340</v>
      </c>
      <c r="F870" s="13" t="s">
        <v>25</v>
      </c>
    </row>
    <row r="871" spans="1:6">
      <c r="A871" t="s">
        <v>713</v>
      </c>
      <c r="B871" t="s">
        <v>837</v>
      </c>
      <c r="C871" s="13" t="s">
        <v>1616</v>
      </c>
      <c r="D871" s="3">
        <v>45691</v>
      </c>
      <c r="E871" s="4">
        <v>413590</v>
      </c>
      <c r="F871" s="13" t="s">
        <v>25</v>
      </c>
    </row>
    <row r="872" spans="1:6" hidden="1">
      <c r="A872" t="s">
        <v>713</v>
      </c>
      <c r="B872" t="s">
        <v>838</v>
      </c>
      <c r="C872"/>
    </row>
    <row r="873" spans="1:6">
      <c r="A873" t="s">
        <v>713</v>
      </c>
      <c r="B873" t="s">
        <v>839</v>
      </c>
      <c r="C873" s="13">
        <v>19</v>
      </c>
      <c r="E873" s="4">
        <v>2592.36</v>
      </c>
      <c r="F873" t="s">
        <v>19</v>
      </c>
    </row>
    <row r="874" spans="1:6" hidden="1">
      <c r="A874" t="s">
        <v>713</v>
      </c>
      <c r="B874" t="s">
        <v>840</v>
      </c>
      <c r="C874"/>
    </row>
    <row r="875" spans="1:6">
      <c r="A875" t="s">
        <v>713</v>
      </c>
      <c r="B875" t="s">
        <v>841</v>
      </c>
      <c r="C875" s="13" t="s">
        <v>1617</v>
      </c>
      <c r="D875" s="3">
        <v>42641</v>
      </c>
      <c r="E875" s="4">
        <v>82448</v>
      </c>
      <c r="F875" s="13" t="s">
        <v>25</v>
      </c>
    </row>
    <row r="876" spans="1:6">
      <c r="A876" t="s">
        <v>713</v>
      </c>
      <c r="B876" t="s">
        <v>841</v>
      </c>
      <c r="C876" s="13" t="s">
        <v>1618</v>
      </c>
      <c r="D876" s="3">
        <v>43430</v>
      </c>
      <c r="E876" s="4">
        <v>135809</v>
      </c>
      <c r="F876" s="13" t="s">
        <v>25</v>
      </c>
    </row>
    <row r="877" spans="1:6">
      <c r="A877" t="s">
        <v>713</v>
      </c>
      <c r="B877" t="s">
        <v>841</v>
      </c>
      <c r="C877" s="13" t="s">
        <v>1619</v>
      </c>
      <c r="D877" s="3">
        <v>44643</v>
      </c>
      <c r="E877" s="4">
        <v>232656</v>
      </c>
      <c r="F877" s="13" t="s">
        <v>25</v>
      </c>
    </row>
    <row r="878" spans="1:6">
      <c r="A878" t="s">
        <v>713</v>
      </c>
      <c r="B878" t="s">
        <v>841</v>
      </c>
      <c r="C878" s="13" t="s">
        <v>1620</v>
      </c>
      <c r="D878" s="3">
        <v>44685</v>
      </c>
      <c r="E878" s="4">
        <v>12980</v>
      </c>
      <c r="F878" s="13" t="s">
        <v>25</v>
      </c>
    </row>
    <row r="879" spans="1:6">
      <c r="A879" t="s">
        <v>713</v>
      </c>
      <c r="B879" t="s">
        <v>841</v>
      </c>
      <c r="C879" s="13" t="s">
        <v>1621</v>
      </c>
      <c r="D879" s="3">
        <v>44845</v>
      </c>
      <c r="E879" s="4">
        <v>14476</v>
      </c>
      <c r="F879" s="13" t="s">
        <v>25</v>
      </c>
    </row>
    <row r="880" spans="1:6">
      <c r="A880" t="s">
        <v>713</v>
      </c>
      <c r="B880" t="s">
        <v>841</v>
      </c>
      <c r="C880" s="13" t="s">
        <v>1622</v>
      </c>
      <c r="D880" s="3">
        <v>45653</v>
      </c>
      <c r="E880" s="4">
        <v>45784</v>
      </c>
      <c r="F880" s="13" t="s">
        <v>25</v>
      </c>
    </row>
    <row r="881" spans="1:6">
      <c r="A881" t="s">
        <v>713</v>
      </c>
      <c r="B881" t="s">
        <v>842</v>
      </c>
      <c r="C881" s="2" t="s">
        <v>1623</v>
      </c>
      <c r="D881" s="6">
        <v>45672</v>
      </c>
      <c r="E881" s="4">
        <v>211220</v>
      </c>
      <c r="F881" s="13" t="s">
        <v>25</v>
      </c>
    </row>
    <row r="882" spans="1:6">
      <c r="A882" t="s">
        <v>713</v>
      </c>
      <c r="B882" t="s">
        <v>842</v>
      </c>
      <c r="C882" s="2" t="s">
        <v>1624</v>
      </c>
      <c r="D882" s="6">
        <v>45672</v>
      </c>
      <c r="E882" s="4">
        <v>195762</v>
      </c>
      <c r="F882" s="13" t="s">
        <v>25</v>
      </c>
    </row>
    <row r="883" spans="1:6">
      <c r="A883" t="s">
        <v>713</v>
      </c>
      <c r="B883" t="s">
        <v>842</v>
      </c>
      <c r="C883" s="2" t="s">
        <v>1625</v>
      </c>
      <c r="D883" s="6">
        <v>45702</v>
      </c>
      <c r="E883" s="4">
        <v>84370</v>
      </c>
      <c r="F883" s="13" t="s">
        <v>25</v>
      </c>
    </row>
    <row r="884" spans="1:6">
      <c r="A884" t="s">
        <v>713</v>
      </c>
      <c r="B884" t="s">
        <v>842</v>
      </c>
      <c r="C884" s="2" t="s">
        <v>1626</v>
      </c>
      <c r="D884" s="6">
        <v>45702</v>
      </c>
      <c r="E884" s="4">
        <v>5664</v>
      </c>
      <c r="F884" s="13" t="s">
        <v>25</v>
      </c>
    </row>
    <row r="885" spans="1:6">
      <c r="A885" t="s">
        <v>713</v>
      </c>
      <c r="B885" t="s">
        <v>842</v>
      </c>
      <c r="C885" s="2" t="s">
        <v>1627</v>
      </c>
      <c r="D885" s="6">
        <v>45722</v>
      </c>
      <c r="E885" s="4">
        <v>110920</v>
      </c>
      <c r="F885" s="13" t="s">
        <v>25</v>
      </c>
    </row>
    <row r="886" spans="1:6">
      <c r="A886" t="s">
        <v>713</v>
      </c>
      <c r="B886" t="s">
        <v>842</v>
      </c>
      <c r="C886" s="2" t="s">
        <v>1628</v>
      </c>
      <c r="D886" s="6">
        <v>45722</v>
      </c>
      <c r="E886" s="4">
        <v>84370</v>
      </c>
      <c r="F886" s="13" t="s">
        <v>25</v>
      </c>
    </row>
    <row r="887" spans="1:6">
      <c r="A887" t="s">
        <v>713</v>
      </c>
      <c r="B887" t="s">
        <v>843</v>
      </c>
      <c r="C887" s="2" t="s">
        <v>1629</v>
      </c>
      <c r="D887" s="6">
        <v>45560</v>
      </c>
      <c r="E887" s="4">
        <v>1428</v>
      </c>
      <c r="F887" s="13" t="s">
        <v>25</v>
      </c>
    </row>
    <row r="888" spans="1:6" hidden="1">
      <c r="A888" t="s">
        <v>713</v>
      </c>
      <c r="B888" t="s">
        <v>844</v>
      </c>
      <c r="C888"/>
    </row>
    <row r="889" spans="1:6" hidden="1">
      <c r="A889" t="s">
        <v>713</v>
      </c>
      <c r="B889" t="s">
        <v>845</v>
      </c>
      <c r="C889"/>
    </row>
    <row r="890" spans="1:6" hidden="1">
      <c r="A890" t="s">
        <v>713</v>
      </c>
      <c r="B890" t="s">
        <v>846</v>
      </c>
      <c r="C890"/>
    </row>
    <row r="891" spans="1:6" hidden="1">
      <c r="A891" t="s">
        <v>713</v>
      </c>
      <c r="B891" t="s">
        <v>847</v>
      </c>
      <c r="C891"/>
    </row>
    <row r="892" spans="1:6" hidden="1">
      <c r="A892" t="s">
        <v>713</v>
      </c>
      <c r="B892" t="s">
        <v>848</v>
      </c>
      <c r="C892"/>
    </row>
    <row r="893" spans="1:6">
      <c r="A893" t="s">
        <v>713</v>
      </c>
      <c r="B893" t="s">
        <v>849</v>
      </c>
      <c r="C893" s="2" t="s">
        <v>1630</v>
      </c>
      <c r="D893" s="6">
        <v>45674</v>
      </c>
      <c r="E893" s="4">
        <v>41300</v>
      </c>
      <c r="F893" s="13" t="s">
        <v>25</v>
      </c>
    </row>
    <row r="894" spans="1:6">
      <c r="A894" t="s">
        <v>713</v>
      </c>
      <c r="B894" t="s">
        <v>849</v>
      </c>
      <c r="C894" s="2" t="s">
        <v>1631</v>
      </c>
      <c r="D894" s="6">
        <v>45685</v>
      </c>
      <c r="E894" s="4">
        <v>1634</v>
      </c>
      <c r="F894" s="13" t="s">
        <v>25</v>
      </c>
    </row>
    <row r="895" spans="1:6">
      <c r="A895" t="s">
        <v>713</v>
      </c>
      <c r="B895" t="s">
        <v>849</v>
      </c>
      <c r="C895" s="2" t="s">
        <v>1632</v>
      </c>
      <c r="D895" s="6">
        <v>45709</v>
      </c>
      <c r="E895" s="4">
        <v>200128</v>
      </c>
      <c r="F895" s="13" t="s">
        <v>25</v>
      </c>
    </row>
    <row r="896" spans="1:6">
      <c r="A896" t="s">
        <v>713</v>
      </c>
      <c r="B896" t="s">
        <v>849</v>
      </c>
      <c r="C896" s="2" t="s">
        <v>1633</v>
      </c>
      <c r="D896" s="6">
        <v>45719</v>
      </c>
      <c r="E896" s="4">
        <v>1298</v>
      </c>
      <c r="F896" s="13" t="s">
        <v>25</v>
      </c>
    </row>
    <row r="897" spans="1:6">
      <c r="A897" t="s">
        <v>713</v>
      </c>
      <c r="B897" t="s">
        <v>849</v>
      </c>
      <c r="C897" s="2" t="s">
        <v>1634</v>
      </c>
      <c r="D897" s="6">
        <v>45720</v>
      </c>
      <c r="E897" s="4">
        <v>36049</v>
      </c>
      <c r="F897" s="13" t="s">
        <v>25</v>
      </c>
    </row>
    <row r="898" spans="1:6">
      <c r="A898" t="s">
        <v>713</v>
      </c>
      <c r="B898" t="s">
        <v>849</v>
      </c>
      <c r="C898" s="2" t="s">
        <v>1635</v>
      </c>
      <c r="D898" s="6">
        <v>45720</v>
      </c>
      <c r="E898" s="4">
        <v>3304</v>
      </c>
      <c r="F898" s="13" t="s">
        <v>25</v>
      </c>
    </row>
    <row r="899" spans="1:6">
      <c r="A899" t="s">
        <v>713</v>
      </c>
      <c r="B899" t="s">
        <v>849</v>
      </c>
      <c r="C899" s="2" t="s">
        <v>1636</v>
      </c>
      <c r="D899" s="6">
        <v>45735</v>
      </c>
      <c r="E899" s="4">
        <v>9794</v>
      </c>
      <c r="F899" s="13" t="s">
        <v>25</v>
      </c>
    </row>
    <row r="900" spans="1:6">
      <c r="A900" t="s">
        <v>713</v>
      </c>
      <c r="B900" t="s">
        <v>849</v>
      </c>
      <c r="C900" s="2" t="s">
        <v>1637</v>
      </c>
      <c r="D900" s="6">
        <v>45737</v>
      </c>
      <c r="E900" s="4">
        <v>145140</v>
      </c>
      <c r="F900" s="13" t="s">
        <v>25</v>
      </c>
    </row>
    <row r="901" spans="1:6">
      <c r="A901" t="s">
        <v>713</v>
      </c>
      <c r="B901" t="s">
        <v>849</v>
      </c>
      <c r="C901" s="2" t="s">
        <v>1638</v>
      </c>
      <c r="D901" s="6">
        <v>45740</v>
      </c>
      <c r="E901" s="4">
        <v>24780</v>
      </c>
      <c r="F901" s="13" t="s">
        <v>25</v>
      </c>
    </row>
    <row r="902" spans="1:6">
      <c r="A902" t="s">
        <v>713</v>
      </c>
      <c r="B902" t="s">
        <v>849</v>
      </c>
      <c r="C902" s="2" t="s">
        <v>1639</v>
      </c>
      <c r="D902" s="6">
        <v>45741</v>
      </c>
      <c r="E902" s="4">
        <v>26963</v>
      </c>
      <c r="F902" s="13" t="s">
        <v>25</v>
      </c>
    </row>
    <row r="903" spans="1:6" hidden="1">
      <c r="A903" t="s">
        <v>713</v>
      </c>
      <c r="B903" t="s">
        <v>850</v>
      </c>
      <c r="C903"/>
    </row>
    <row r="904" spans="1:6" hidden="1">
      <c r="A904" t="s">
        <v>713</v>
      </c>
      <c r="B904" t="s">
        <v>851</v>
      </c>
      <c r="C904"/>
    </row>
    <row r="905" spans="1:6" hidden="1">
      <c r="A905" t="s">
        <v>713</v>
      </c>
      <c r="B905" t="s">
        <v>852</v>
      </c>
      <c r="C905"/>
    </row>
    <row r="906" spans="1:6">
      <c r="A906" t="s">
        <v>713</v>
      </c>
      <c r="B906" t="s">
        <v>853</v>
      </c>
      <c r="C906" s="2" t="s">
        <v>1640</v>
      </c>
      <c r="D906" s="6">
        <v>45745</v>
      </c>
      <c r="E906" s="4">
        <v>16074</v>
      </c>
      <c r="F906" s="13" t="s">
        <v>25</v>
      </c>
    </row>
    <row r="907" spans="1:6" hidden="1">
      <c r="A907" t="s">
        <v>713</v>
      </c>
      <c r="B907" t="s">
        <v>854</v>
      </c>
      <c r="C907"/>
    </row>
    <row r="908" spans="1:6" hidden="1">
      <c r="A908" t="s">
        <v>713</v>
      </c>
      <c r="B908" t="s">
        <v>855</v>
      </c>
      <c r="C908"/>
    </row>
    <row r="909" spans="1:6" hidden="1">
      <c r="A909" t="s">
        <v>713</v>
      </c>
      <c r="B909" t="s">
        <v>856</v>
      </c>
      <c r="C909"/>
    </row>
    <row r="910" spans="1:6" hidden="1">
      <c r="A910" t="s">
        <v>713</v>
      </c>
      <c r="B910" t="s">
        <v>857</v>
      </c>
      <c r="C910"/>
    </row>
    <row r="911" spans="1:6" hidden="1">
      <c r="A911" t="s">
        <v>713</v>
      </c>
      <c r="B911" t="s">
        <v>858</v>
      </c>
      <c r="C911"/>
    </row>
    <row r="912" spans="1:6">
      <c r="A912" t="s">
        <v>713</v>
      </c>
      <c r="B912" t="s">
        <v>859</v>
      </c>
      <c r="C912" s="2" t="s">
        <v>1641</v>
      </c>
      <c r="D912" s="6">
        <v>45738</v>
      </c>
      <c r="E912" s="4">
        <v>56522</v>
      </c>
      <c r="F912" s="13" t="s">
        <v>25</v>
      </c>
    </row>
    <row r="913" spans="1:6">
      <c r="A913" t="s">
        <v>713</v>
      </c>
      <c r="B913" t="s">
        <v>860</v>
      </c>
      <c r="C913" s="2" t="s">
        <v>1642</v>
      </c>
      <c r="D913" s="6">
        <v>45472</v>
      </c>
      <c r="E913" s="4">
        <v>47746875</v>
      </c>
      <c r="F913" s="13" t="s">
        <v>25</v>
      </c>
    </row>
    <row r="914" spans="1:6">
      <c r="A914" t="s">
        <v>713</v>
      </c>
      <c r="B914" t="s">
        <v>860</v>
      </c>
      <c r="C914" s="2" t="s">
        <v>1643</v>
      </c>
      <c r="D914" s="6">
        <v>45516</v>
      </c>
      <c r="E914" s="4">
        <v>10986750</v>
      </c>
      <c r="F914" s="13" t="s">
        <v>25</v>
      </c>
    </row>
    <row r="915" spans="1:6" hidden="1">
      <c r="A915" t="s">
        <v>713</v>
      </c>
      <c r="B915" t="s">
        <v>861</v>
      </c>
      <c r="C915"/>
    </row>
    <row r="916" spans="1:6" hidden="1">
      <c r="A916" t="s">
        <v>713</v>
      </c>
      <c r="B916" t="s">
        <v>862</v>
      </c>
      <c r="C916"/>
    </row>
    <row r="917" spans="1:6" hidden="1">
      <c r="A917" t="s">
        <v>713</v>
      </c>
      <c r="B917" t="s">
        <v>863</v>
      </c>
      <c r="C917"/>
    </row>
    <row r="918" spans="1:6" hidden="1">
      <c r="A918" t="s">
        <v>713</v>
      </c>
      <c r="B918" t="s">
        <v>864</v>
      </c>
      <c r="C918"/>
    </row>
    <row r="919" spans="1:6">
      <c r="A919" t="s">
        <v>713</v>
      </c>
      <c r="B919" t="s">
        <v>865</v>
      </c>
      <c r="C919" s="2" t="s">
        <v>1644</v>
      </c>
      <c r="D919" s="6">
        <v>45696</v>
      </c>
      <c r="E919" s="4">
        <f>461679.72-3913-60710.31</f>
        <v>397056.41</v>
      </c>
      <c r="F919" s="13" t="s">
        <v>25</v>
      </c>
    </row>
    <row r="920" spans="1:6">
      <c r="A920" t="s">
        <v>713</v>
      </c>
      <c r="B920" t="s">
        <v>866</v>
      </c>
      <c r="C920" s="2" t="s">
        <v>1645</v>
      </c>
      <c r="D920" s="6">
        <v>45659</v>
      </c>
      <c r="E920" s="4">
        <v>52123</v>
      </c>
      <c r="F920" s="13" t="s">
        <v>25</v>
      </c>
    </row>
    <row r="921" spans="1:6" hidden="1">
      <c r="A921" t="s">
        <v>713</v>
      </c>
      <c r="B921" t="s">
        <v>867</v>
      </c>
      <c r="C921"/>
    </row>
    <row r="922" spans="1:6" hidden="1">
      <c r="A922" t="s">
        <v>713</v>
      </c>
      <c r="B922" t="s">
        <v>868</v>
      </c>
      <c r="C922"/>
    </row>
    <row r="923" spans="1:6" hidden="1">
      <c r="A923" t="s">
        <v>713</v>
      </c>
      <c r="B923" t="s">
        <v>869</v>
      </c>
      <c r="C923"/>
    </row>
    <row r="924" spans="1:6" hidden="1">
      <c r="A924" t="s">
        <v>713</v>
      </c>
      <c r="B924" t="s">
        <v>870</v>
      </c>
      <c r="C924"/>
    </row>
    <row r="925" spans="1:6" hidden="1">
      <c r="A925" t="s">
        <v>713</v>
      </c>
      <c r="B925" t="s">
        <v>871</v>
      </c>
      <c r="C925"/>
    </row>
    <row r="926" spans="1:6" hidden="1">
      <c r="A926" t="s">
        <v>713</v>
      </c>
      <c r="B926" t="s">
        <v>872</v>
      </c>
      <c r="C926"/>
    </row>
    <row r="927" spans="1:6" hidden="1">
      <c r="A927" t="s">
        <v>713</v>
      </c>
      <c r="B927" t="s">
        <v>873</v>
      </c>
      <c r="C927"/>
    </row>
    <row r="928" spans="1:6" hidden="1">
      <c r="A928" t="s">
        <v>713</v>
      </c>
      <c r="B928" t="s">
        <v>874</v>
      </c>
      <c r="C928"/>
    </row>
    <row r="929" spans="1:6">
      <c r="A929" t="s">
        <v>713</v>
      </c>
      <c r="B929" t="s">
        <v>875</v>
      </c>
      <c r="C929" s="13" t="s">
        <v>1646</v>
      </c>
      <c r="D929" s="3">
        <v>44907</v>
      </c>
      <c r="E929" s="4">
        <v>47698</v>
      </c>
      <c r="F929" s="13" t="s">
        <v>25</v>
      </c>
    </row>
    <row r="930" spans="1:6">
      <c r="A930" t="s">
        <v>713</v>
      </c>
      <c r="B930" t="s">
        <v>875</v>
      </c>
      <c r="C930" s="13" t="s">
        <v>1647</v>
      </c>
      <c r="D930" s="3">
        <v>45187</v>
      </c>
      <c r="E930" s="4">
        <v>122199</v>
      </c>
      <c r="F930" s="13" t="s">
        <v>25</v>
      </c>
    </row>
    <row r="931" spans="1:6">
      <c r="A931" t="s">
        <v>713</v>
      </c>
      <c r="B931" t="s">
        <v>875</v>
      </c>
      <c r="C931" s="13" t="s">
        <v>1648</v>
      </c>
      <c r="D931" s="3">
        <v>45530</v>
      </c>
      <c r="E931" s="4">
        <v>52925</v>
      </c>
      <c r="F931" s="13" t="s">
        <v>25</v>
      </c>
    </row>
    <row r="932" spans="1:6">
      <c r="A932" t="s">
        <v>713</v>
      </c>
      <c r="B932" t="s">
        <v>875</v>
      </c>
      <c r="C932" s="13" t="s">
        <v>1649</v>
      </c>
      <c r="D932" s="3">
        <v>45559</v>
      </c>
      <c r="E932" s="4">
        <v>3010</v>
      </c>
      <c r="F932" s="13" t="s">
        <v>25</v>
      </c>
    </row>
    <row r="933" spans="1:6">
      <c r="A933" t="s">
        <v>713</v>
      </c>
      <c r="B933" t="s">
        <v>876</v>
      </c>
      <c r="C933" s="2" t="s">
        <v>1650</v>
      </c>
      <c r="D933" s="6">
        <v>45665</v>
      </c>
      <c r="E933" s="4">
        <v>9027</v>
      </c>
      <c r="F933" s="13" t="s">
        <v>25</v>
      </c>
    </row>
    <row r="934" spans="1:6">
      <c r="A934" t="s">
        <v>713</v>
      </c>
      <c r="B934" t="s">
        <v>876</v>
      </c>
      <c r="C934" s="2" t="s">
        <v>1651</v>
      </c>
      <c r="D934" s="6">
        <v>45685</v>
      </c>
      <c r="E934" s="4">
        <v>147264</v>
      </c>
      <c r="F934" s="13" t="s">
        <v>25</v>
      </c>
    </row>
    <row r="935" spans="1:6">
      <c r="A935" t="s">
        <v>713</v>
      </c>
      <c r="B935" t="s">
        <v>876</v>
      </c>
      <c r="C935" s="2" t="s">
        <v>1652</v>
      </c>
      <c r="D935" s="6">
        <v>45712</v>
      </c>
      <c r="E935" s="4">
        <v>9051</v>
      </c>
      <c r="F935" s="13" t="s">
        <v>25</v>
      </c>
    </row>
    <row r="936" spans="1:6">
      <c r="A936" t="s">
        <v>713</v>
      </c>
      <c r="B936" t="s">
        <v>876</v>
      </c>
      <c r="C936" s="2" t="s">
        <v>1653</v>
      </c>
      <c r="D936" s="6">
        <v>45737</v>
      </c>
      <c r="E936" s="4">
        <v>31388</v>
      </c>
      <c r="F936" s="13" t="s">
        <v>25</v>
      </c>
    </row>
    <row r="937" spans="1:6">
      <c r="A937" t="s">
        <v>713</v>
      </c>
      <c r="B937" t="s">
        <v>877</v>
      </c>
      <c r="C937" s="13" t="s">
        <v>1654</v>
      </c>
      <c r="D937" s="6">
        <v>45413</v>
      </c>
      <c r="E937" s="4">
        <v>508615.94</v>
      </c>
      <c r="F937" s="13" t="s">
        <v>25</v>
      </c>
    </row>
    <row r="938" spans="1:6">
      <c r="A938" t="s">
        <v>713</v>
      </c>
      <c r="B938" t="s">
        <v>877</v>
      </c>
      <c r="C938" s="2" t="s">
        <v>1655</v>
      </c>
      <c r="D938" s="6">
        <v>45532</v>
      </c>
      <c r="E938" s="4">
        <v>24114</v>
      </c>
      <c r="F938" s="13" t="s">
        <v>25</v>
      </c>
    </row>
    <row r="939" spans="1:6" hidden="1">
      <c r="A939" t="s">
        <v>713</v>
      </c>
      <c r="B939" t="s">
        <v>878</v>
      </c>
      <c r="C939"/>
    </row>
    <row r="940" spans="1:6">
      <c r="A940" t="s">
        <v>713</v>
      </c>
      <c r="B940" t="s">
        <v>879</v>
      </c>
      <c r="C940" s="2" t="s">
        <v>1656</v>
      </c>
      <c r="D940" s="6">
        <v>45688</v>
      </c>
      <c r="E940" s="4">
        <f>3420-496</f>
        <v>2924</v>
      </c>
      <c r="F940" s="13" t="s">
        <v>25</v>
      </c>
    </row>
    <row r="941" spans="1:6">
      <c r="A941" t="s">
        <v>713</v>
      </c>
      <c r="B941" t="s">
        <v>879</v>
      </c>
      <c r="C941" s="2" t="s">
        <v>1657</v>
      </c>
      <c r="D941" s="6">
        <v>45700</v>
      </c>
      <c r="E941" s="4">
        <v>17649</v>
      </c>
      <c r="F941" s="13" t="s">
        <v>25</v>
      </c>
    </row>
    <row r="942" spans="1:6">
      <c r="A942" t="s">
        <v>713</v>
      </c>
      <c r="B942" t="s">
        <v>879</v>
      </c>
      <c r="C942" s="2" t="s">
        <v>1658</v>
      </c>
      <c r="D942" s="6">
        <v>45702</v>
      </c>
      <c r="E942" s="4">
        <v>20324</v>
      </c>
      <c r="F942" s="13" t="s">
        <v>25</v>
      </c>
    </row>
    <row r="943" spans="1:6">
      <c r="A943" t="s">
        <v>713</v>
      </c>
      <c r="B943" t="s">
        <v>879</v>
      </c>
      <c r="C943" s="2" t="s">
        <v>1659</v>
      </c>
      <c r="D943" s="6">
        <v>45715</v>
      </c>
      <c r="E943" s="4">
        <v>7070</v>
      </c>
      <c r="F943" s="13" t="s">
        <v>25</v>
      </c>
    </row>
    <row r="944" spans="1:6">
      <c r="A944" t="s">
        <v>713</v>
      </c>
      <c r="B944" t="s">
        <v>879</v>
      </c>
      <c r="C944" s="2" t="s">
        <v>1660</v>
      </c>
      <c r="D944" s="6">
        <v>45728</v>
      </c>
      <c r="E944" s="4">
        <v>4085</v>
      </c>
      <c r="F944" s="13" t="s">
        <v>25</v>
      </c>
    </row>
    <row r="945" spans="1:6">
      <c r="A945" t="s">
        <v>713</v>
      </c>
      <c r="B945" t="s">
        <v>879</v>
      </c>
      <c r="C945" s="2" t="s">
        <v>1661</v>
      </c>
      <c r="D945" s="6">
        <v>45734</v>
      </c>
      <c r="E945" s="4">
        <v>1687</v>
      </c>
      <c r="F945" s="13" t="s">
        <v>25</v>
      </c>
    </row>
    <row r="946" spans="1:6">
      <c r="A946" t="s">
        <v>713</v>
      </c>
      <c r="B946" t="s">
        <v>879</v>
      </c>
      <c r="C946" s="2" t="s">
        <v>1579</v>
      </c>
      <c r="D946" s="6">
        <v>45740</v>
      </c>
      <c r="E946" s="4">
        <v>11288</v>
      </c>
      <c r="F946" s="13" t="s">
        <v>25</v>
      </c>
    </row>
    <row r="947" spans="1:6">
      <c r="A947" t="s">
        <v>713</v>
      </c>
      <c r="B947" t="s">
        <v>880</v>
      </c>
      <c r="C947" s="2" t="s">
        <v>1662</v>
      </c>
      <c r="D947" s="6">
        <v>45688</v>
      </c>
      <c r="E947" s="4">
        <v>104586</v>
      </c>
      <c r="F947" s="13" t="s">
        <v>25</v>
      </c>
    </row>
    <row r="948" spans="1:6">
      <c r="A948" t="s">
        <v>713</v>
      </c>
      <c r="B948" t="s">
        <v>880</v>
      </c>
      <c r="C948" s="2" t="s">
        <v>1663</v>
      </c>
      <c r="D948" s="6">
        <v>45691</v>
      </c>
      <c r="E948" s="4">
        <v>28320</v>
      </c>
      <c r="F948" s="13" t="s">
        <v>25</v>
      </c>
    </row>
    <row r="949" spans="1:6">
      <c r="A949" t="s">
        <v>713</v>
      </c>
      <c r="B949" t="s">
        <v>880</v>
      </c>
      <c r="C949" s="2" t="s">
        <v>1664</v>
      </c>
      <c r="D949" s="6">
        <v>45698</v>
      </c>
      <c r="E949" s="4">
        <v>102103</v>
      </c>
      <c r="F949" s="13" t="s">
        <v>25</v>
      </c>
    </row>
    <row r="950" spans="1:6">
      <c r="A950" t="s">
        <v>713</v>
      </c>
      <c r="B950" t="s">
        <v>880</v>
      </c>
      <c r="C950" s="2" t="s">
        <v>1665</v>
      </c>
      <c r="D950" s="6">
        <v>45698</v>
      </c>
      <c r="E950" s="4">
        <v>7670</v>
      </c>
      <c r="F950" s="13" t="s">
        <v>25</v>
      </c>
    </row>
    <row r="951" spans="1:6">
      <c r="A951" t="s">
        <v>713</v>
      </c>
      <c r="B951" t="s">
        <v>880</v>
      </c>
      <c r="C951" s="2" t="s">
        <v>1666</v>
      </c>
      <c r="D951" s="6">
        <v>45698</v>
      </c>
      <c r="E951" s="4">
        <v>39176</v>
      </c>
      <c r="F951" s="13" t="s">
        <v>25</v>
      </c>
    </row>
    <row r="952" spans="1:6">
      <c r="A952" t="s">
        <v>713</v>
      </c>
      <c r="B952" t="s">
        <v>880</v>
      </c>
      <c r="C952" s="2" t="s">
        <v>1667</v>
      </c>
      <c r="D952" s="6">
        <v>45715</v>
      </c>
      <c r="E952" s="4">
        <v>15577</v>
      </c>
      <c r="F952" s="13" t="s">
        <v>25</v>
      </c>
    </row>
    <row r="953" spans="1:6">
      <c r="A953" t="s">
        <v>713</v>
      </c>
      <c r="B953" t="s">
        <v>880</v>
      </c>
      <c r="C953" s="2" t="s">
        <v>1668</v>
      </c>
      <c r="D953" s="6">
        <v>45719</v>
      </c>
      <c r="E953" s="4">
        <v>64881</v>
      </c>
      <c r="F953" s="13" t="s">
        <v>25</v>
      </c>
    </row>
    <row r="954" spans="1:6">
      <c r="A954" t="s">
        <v>713</v>
      </c>
      <c r="B954" t="s">
        <v>880</v>
      </c>
      <c r="C954" s="2" t="s">
        <v>1669</v>
      </c>
      <c r="D954" s="6">
        <v>45721</v>
      </c>
      <c r="E954" s="4">
        <v>26196</v>
      </c>
      <c r="F954" s="13" t="s">
        <v>25</v>
      </c>
    </row>
    <row r="955" spans="1:6">
      <c r="A955" t="s">
        <v>713</v>
      </c>
      <c r="B955" t="s">
        <v>880</v>
      </c>
      <c r="C955" s="2" t="s">
        <v>1670</v>
      </c>
      <c r="D955" s="6">
        <v>45724</v>
      </c>
      <c r="E955" s="4">
        <v>14750</v>
      </c>
      <c r="F955" s="13" t="s">
        <v>25</v>
      </c>
    </row>
    <row r="956" spans="1:6">
      <c r="A956" t="s">
        <v>713</v>
      </c>
      <c r="B956" t="s">
        <v>880</v>
      </c>
      <c r="C956" s="2" t="s">
        <v>1671</v>
      </c>
      <c r="D956" s="6">
        <v>45724</v>
      </c>
      <c r="E956" s="4">
        <v>14750</v>
      </c>
      <c r="F956" s="13" t="s">
        <v>25</v>
      </c>
    </row>
    <row r="957" spans="1:6">
      <c r="A957" t="s">
        <v>713</v>
      </c>
      <c r="B957" t="s">
        <v>880</v>
      </c>
      <c r="C957" s="2" t="s">
        <v>1672</v>
      </c>
      <c r="D957" s="6">
        <v>45724</v>
      </c>
      <c r="E957" s="4">
        <v>22420</v>
      </c>
      <c r="F957" s="13" t="s">
        <v>25</v>
      </c>
    </row>
    <row r="958" spans="1:6">
      <c r="A958" t="s">
        <v>713</v>
      </c>
      <c r="B958" t="s">
        <v>880</v>
      </c>
      <c r="C958" s="2" t="s">
        <v>1673</v>
      </c>
      <c r="D958" s="6">
        <v>45737</v>
      </c>
      <c r="E958" s="4">
        <v>19352</v>
      </c>
      <c r="F958" s="13" t="s">
        <v>25</v>
      </c>
    </row>
    <row r="959" spans="1:6" hidden="1">
      <c r="A959" t="s">
        <v>713</v>
      </c>
      <c r="B959" t="s">
        <v>881</v>
      </c>
      <c r="C959"/>
    </row>
    <row r="960" spans="1:6">
      <c r="A960" t="s">
        <v>713</v>
      </c>
      <c r="B960" t="s">
        <v>882</v>
      </c>
      <c r="C960" s="2" t="s">
        <v>1674</v>
      </c>
      <c r="D960" s="6">
        <v>45685</v>
      </c>
      <c r="E960" s="4">
        <v>1563264</v>
      </c>
      <c r="F960" s="13" t="s">
        <v>25</v>
      </c>
    </row>
    <row r="961" spans="1:6">
      <c r="A961" t="s">
        <v>713</v>
      </c>
      <c r="B961" t="s">
        <v>883</v>
      </c>
      <c r="C961" s="2" t="s">
        <v>1675</v>
      </c>
      <c r="D961" s="6">
        <v>45717</v>
      </c>
      <c r="E961" s="4">
        <v>30975</v>
      </c>
      <c r="F961" s="13" t="s">
        <v>25</v>
      </c>
    </row>
    <row r="962" spans="1:6" hidden="1">
      <c r="A962" t="s">
        <v>713</v>
      </c>
      <c r="B962" t="s">
        <v>884</v>
      </c>
      <c r="C962"/>
    </row>
    <row r="963" spans="1:6" hidden="1">
      <c r="A963" t="s">
        <v>713</v>
      </c>
      <c r="B963" t="s">
        <v>885</v>
      </c>
      <c r="C963"/>
    </row>
    <row r="964" spans="1:6">
      <c r="A964" t="s">
        <v>713</v>
      </c>
      <c r="B964" t="s">
        <v>886</v>
      </c>
      <c r="C964" s="2" t="s">
        <v>1676</v>
      </c>
      <c r="D964" s="6">
        <v>45717</v>
      </c>
      <c r="E964" s="4">
        <v>8800</v>
      </c>
      <c r="F964" s="13" t="s">
        <v>25</v>
      </c>
    </row>
    <row r="965" spans="1:6" hidden="1">
      <c r="A965" t="s">
        <v>713</v>
      </c>
      <c r="B965" t="s">
        <v>887</v>
      </c>
      <c r="C965"/>
    </row>
    <row r="966" spans="1:6" hidden="1">
      <c r="A966" t="s">
        <v>713</v>
      </c>
      <c r="B966" t="s">
        <v>888</v>
      </c>
      <c r="C966"/>
    </row>
    <row r="967" spans="1:6" hidden="1">
      <c r="A967" t="s">
        <v>713</v>
      </c>
      <c r="B967" t="s">
        <v>889</v>
      </c>
      <c r="C967"/>
    </row>
    <row r="968" spans="1:6" hidden="1">
      <c r="A968" t="s">
        <v>713</v>
      </c>
      <c r="B968" t="s">
        <v>890</v>
      </c>
      <c r="C968"/>
    </row>
    <row r="969" spans="1:6">
      <c r="A969" t="s">
        <v>713</v>
      </c>
      <c r="B969" t="s">
        <v>891</v>
      </c>
      <c r="C969" s="2" t="s">
        <v>1677</v>
      </c>
      <c r="D969" s="6">
        <v>45706</v>
      </c>
      <c r="E969" s="4">
        <v>9155608</v>
      </c>
      <c r="F969" s="13" t="s">
        <v>25</v>
      </c>
    </row>
    <row r="970" spans="1:6">
      <c r="A970" t="s">
        <v>713</v>
      </c>
      <c r="B970" t="s">
        <v>891</v>
      </c>
      <c r="C970" s="2" t="s">
        <v>1678</v>
      </c>
      <c r="D970" s="6">
        <v>45712</v>
      </c>
      <c r="E970" s="4">
        <v>7278713</v>
      </c>
      <c r="F970" s="13" t="s">
        <v>25</v>
      </c>
    </row>
    <row r="971" spans="1:6">
      <c r="A971" t="s">
        <v>713</v>
      </c>
      <c r="B971" t="s">
        <v>891</v>
      </c>
      <c r="C971" s="2" t="s">
        <v>1679</v>
      </c>
      <c r="D971" s="6">
        <v>45715</v>
      </c>
      <c r="E971" s="4">
        <v>468150</v>
      </c>
      <c r="F971" s="13" t="s">
        <v>25</v>
      </c>
    </row>
    <row r="972" spans="1:6">
      <c r="A972" t="s">
        <v>713</v>
      </c>
      <c r="B972" t="s">
        <v>891</v>
      </c>
      <c r="C972" s="2" t="s">
        <v>1680</v>
      </c>
      <c r="D972" s="6">
        <v>45747</v>
      </c>
      <c r="E972" s="4">
        <v>156584</v>
      </c>
      <c r="F972" s="13" t="s">
        <v>25</v>
      </c>
    </row>
    <row r="973" spans="1:6" hidden="1">
      <c r="A973" t="s">
        <v>713</v>
      </c>
      <c r="B973" t="s">
        <v>892</v>
      </c>
      <c r="C973"/>
    </row>
    <row r="974" spans="1:6">
      <c r="A974" t="s">
        <v>713</v>
      </c>
      <c r="B974" t="s">
        <v>893</v>
      </c>
      <c r="C974" s="2" t="s">
        <v>1681</v>
      </c>
      <c r="D974" s="6">
        <v>45721</v>
      </c>
      <c r="E974" s="4">
        <v>118590</v>
      </c>
      <c r="F974" s="13" t="s">
        <v>25</v>
      </c>
    </row>
    <row r="975" spans="1:6">
      <c r="A975" t="s">
        <v>713</v>
      </c>
      <c r="B975" t="s">
        <v>893</v>
      </c>
      <c r="C975" s="2" t="s">
        <v>1682</v>
      </c>
      <c r="D975" s="6">
        <v>45736</v>
      </c>
      <c r="E975" s="4">
        <v>57820</v>
      </c>
      <c r="F975" s="13" t="s">
        <v>25</v>
      </c>
    </row>
    <row r="976" spans="1:6" hidden="1">
      <c r="A976" t="s">
        <v>713</v>
      </c>
      <c r="B976" t="s">
        <v>894</v>
      </c>
      <c r="C976"/>
    </row>
    <row r="977" spans="1:6">
      <c r="A977" t="s">
        <v>713</v>
      </c>
      <c r="B977" t="s">
        <v>895</v>
      </c>
      <c r="C977" s="2" t="s">
        <v>1683</v>
      </c>
      <c r="D977" s="6">
        <v>45673</v>
      </c>
      <c r="E977" s="4">
        <v>3776</v>
      </c>
      <c r="F977" s="13" t="s">
        <v>25</v>
      </c>
    </row>
    <row r="978" spans="1:6" hidden="1">
      <c r="A978" t="s">
        <v>713</v>
      </c>
      <c r="B978" t="s">
        <v>896</v>
      </c>
      <c r="C978"/>
    </row>
    <row r="979" spans="1:6">
      <c r="A979" t="s">
        <v>713</v>
      </c>
      <c r="B979" t="s">
        <v>897</v>
      </c>
      <c r="C979" s="2" t="s">
        <v>1684</v>
      </c>
      <c r="D979" s="6">
        <v>45689</v>
      </c>
      <c r="E979" s="4">
        <v>664854</v>
      </c>
      <c r="F979" s="13" t="s">
        <v>25</v>
      </c>
    </row>
    <row r="980" spans="1:6">
      <c r="A980" t="s">
        <v>713</v>
      </c>
      <c r="B980" t="s">
        <v>897</v>
      </c>
      <c r="C980" s="2" t="s">
        <v>1685</v>
      </c>
      <c r="D980" s="6">
        <v>45733</v>
      </c>
      <c r="E980" s="4">
        <v>292974</v>
      </c>
      <c r="F980" s="13" t="s">
        <v>25</v>
      </c>
    </row>
    <row r="981" spans="1:6">
      <c r="A981" t="s">
        <v>713</v>
      </c>
      <c r="B981" t="s">
        <v>897</v>
      </c>
      <c r="C981" s="2" t="s">
        <v>1686</v>
      </c>
      <c r="D981" s="6">
        <v>45735</v>
      </c>
      <c r="E981" s="4">
        <v>146990</v>
      </c>
      <c r="F981" s="13" t="s">
        <v>25</v>
      </c>
    </row>
    <row r="982" spans="1:6" hidden="1">
      <c r="A982" t="s">
        <v>713</v>
      </c>
      <c r="B982" t="s">
        <v>898</v>
      </c>
      <c r="C982"/>
    </row>
    <row r="983" spans="1:6">
      <c r="A983" t="s">
        <v>713</v>
      </c>
      <c r="B983" t="s">
        <v>899</v>
      </c>
      <c r="C983" s="2" t="s">
        <v>1687</v>
      </c>
      <c r="D983" s="6">
        <v>45706</v>
      </c>
      <c r="E983" s="4">
        <v>174074</v>
      </c>
      <c r="F983" s="13" t="s">
        <v>25</v>
      </c>
    </row>
    <row r="984" spans="1:6">
      <c r="A984" t="s">
        <v>713</v>
      </c>
      <c r="B984" t="s">
        <v>899</v>
      </c>
      <c r="C984" s="2" t="s">
        <v>1688</v>
      </c>
      <c r="D984" s="6">
        <v>45721</v>
      </c>
      <c r="E984" s="4">
        <v>186440</v>
      </c>
      <c r="F984" s="13" t="s">
        <v>25</v>
      </c>
    </row>
    <row r="985" spans="1:6">
      <c r="A985" t="s">
        <v>713</v>
      </c>
      <c r="B985" t="s">
        <v>899</v>
      </c>
      <c r="C985" s="2" t="s">
        <v>1689</v>
      </c>
      <c r="D985" s="6">
        <v>45727</v>
      </c>
      <c r="E985" s="4">
        <v>278952</v>
      </c>
      <c r="F985" s="13" t="s">
        <v>25</v>
      </c>
    </row>
    <row r="986" spans="1:6">
      <c r="A986" t="s">
        <v>713</v>
      </c>
      <c r="B986" t="s">
        <v>899</v>
      </c>
      <c r="C986" s="2" t="s">
        <v>1690</v>
      </c>
      <c r="D986" s="6">
        <v>45727</v>
      </c>
      <c r="E986" s="4">
        <v>315928</v>
      </c>
      <c r="F986" s="13" t="s">
        <v>25</v>
      </c>
    </row>
    <row r="987" spans="1:6">
      <c r="A987" t="s">
        <v>713</v>
      </c>
      <c r="B987" t="s">
        <v>899</v>
      </c>
      <c r="C987" s="2" t="s">
        <v>1691</v>
      </c>
      <c r="D987" s="6">
        <v>45742</v>
      </c>
      <c r="E987" s="4">
        <v>527578</v>
      </c>
      <c r="F987" s="13" t="s">
        <v>25</v>
      </c>
    </row>
    <row r="988" spans="1:6">
      <c r="A988" t="s">
        <v>713</v>
      </c>
      <c r="B988" t="s">
        <v>899</v>
      </c>
      <c r="C988" s="2" t="s">
        <v>1692</v>
      </c>
      <c r="D988" s="6">
        <v>45747</v>
      </c>
      <c r="E988" s="4">
        <v>315803</v>
      </c>
      <c r="F988" s="13" t="s">
        <v>25</v>
      </c>
    </row>
    <row r="989" spans="1:6">
      <c r="A989" t="s">
        <v>713</v>
      </c>
      <c r="B989" t="s">
        <v>900</v>
      </c>
      <c r="C989" s="2" t="s">
        <v>1693</v>
      </c>
      <c r="D989" s="6">
        <v>45138</v>
      </c>
      <c r="E989" s="4">
        <v>7965</v>
      </c>
      <c r="F989" s="13" t="s">
        <v>25</v>
      </c>
    </row>
    <row r="990" spans="1:6" hidden="1">
      <c r="A990" t="s">
        <v>713</v>
      </c>
      <c r="B990" t="s">
        <v>901</v>
      </c>
      <c r="C990"/>
    </row>
    <row r="991" spans="1:6" hidden="1">
      <c r="A991" t="s">
        <v>713</v>
      </c>
      <c r="B991" t="s">
        <v>902</v>
      </c>
      <c r="C991"/>
    </row>
    <row r="992" spans="1:6" hidden="1">
      <c r="A992" t="s">
        <v>713</v>
      </c>
      <c r="B992" t="s">
        <v>903</v>
      </c>
      <c r="C992"/>
    </row>
    <row r="993" spans="1:6" hidden="1">
      <c r="A993" t="s">
        <v>713</v>
      </c>
      <c r="B993" t="s">
        <v>904</v>
      </c>
      <c r="C993"/>
    </row>
    <row r="994" spans="1:6" hidden="1">
      <c r="A994" t="s">
        <v>713</v>
      </c>
      <c r="B994" t="s">
        <v>905</v>
      </c>
      <c r="C994"/>
    </row>
    <row r="995" spans="1:6" hidden="1">
      <c r="A995" t="s">
        <v>713</v>
      </c>
      <c r="B995" t="s">
        <v>906</v>
      </c>
      <c r="C995"/>
    </row>
    <row r="996" spans="1:6" hidden="1">
      <c r="A996" t="s">
        <v>713</v>
      </c>
      <c r="B996" t="s">
        <v>907</v>
      </c>
      <c r="C996"/>
    </row>
    <row r="997" spans="1:6">
      <c r="A997" t="s">
        <v>713</v>
      </c>
      <c r="B997" t="s">
        <v>908</v>
      </c>
      <c r="C997" s="2" t="s">
        <v>1694</v>
      </c>
      <c r="D997" s="6">
        <v>45383</v>
      </c>
      <c r="E997" s="4">
        <v>133714.16</v>
      </c>
      <c r="F997" s="13" t="s">
        <v>25</v>
      </c>
    </row>
    <row r="998" spans="1:6">
      <c r="A998" t="s">
        <v>713</v>
      </c>
      <c r="B998" t="s">
        <v>909</v>
      </c>
      <c r="C998" s="2" t="s">
        <v>1695</v>
      </c>
      <c r="D998" s="6">
        <v>45717</v>
      </c>
      <c r="E998" s="4">
        <f>107380-9519</f>
        <v>97861</v>
      </c>
      <c r="F998" s="13" t="s">
        <v>25</v>
      </c>
    </row>
    <row r="999" spans="1:6">
      <c r="A999" t="s">
        <v>713</v>
      </c>
      <c r="B999" t="s">
        <v>909</v>
      </c>
      <c r="C999" s="2" t="s">
        <v>1696</v>
      </c>
      <c r="D999" s="6">
        <v>45743</v>
      </c>
      <c r="E999" s="4">
        <v>17360</v>
      </c>
      <c r="F999" s="13" t="s">
        <v>25</v>
      </c>
    </row>
    <row r="1000" spans="1:6">
      <c r="A1000" t="s">
        <v>713</v>
      </c>
      <c r="B1000" t="s">
        <v>909</v>
      </c>
      <c r="C1000" s="2" t="s">
        <v>1697</v>
      </c>
      <c r="D1000" s="6">
        <v>45743</v>
      </c>
      <c r="E1000" s="4">
        <v>61950</v>
      </c>
      <c r="F1000" s="13" t="s">
        <v>25</v>
      </c>
    </row>
    <row r="1001" spans="1:6">
      <c r="A1001" t="s">
        <v>713</v>
      </c>
      <c r="B1001" t="s">
        <v>910</v>
      </c>
      <c r="C1001" s="2" t="s">
        <v>1698</v>
      </c>
      <c r="D1001" s="6">
        <v>45689</v>
      </c>
      <c r="E1001" s="4">
        <v>8400</v>
      </c>
      <c r="F1001" s="13" t="s">
        <v>25</v>
      </c>
    </row>
    <row r="1002" spans="1:6">
      <c r="A1002" t="s">
        <v>713</v>
      </c>
      <c r="B1002" t="s">
        <v>910</v>
      </c>
      <c r="C1002" s="2" t="s">
        <v>1699</v>
      </c>
      <c r="D1002" s="6">
        <v>45691</v>
      </c>
      <c r="E1002" s="4">
        <v>7750</v>
      </c>
      <c r="F1002" s="13" t="s">
        <v>25</v>
      </c>
    </row>
    <row r="1003" spans="1:6">
      <c r="A1003" t="s">
        <v>713</v>
      </c>
      <c r="B1003" t="s">
        <v>910</v>
      </c>
      <c r="C1003" s="2" t="s">
        <v>1700</v>
      </c>
      <c r="D1003" s="6">
        <v>45723</v>
      </c>
      <c r="E1003" s="4">
        <v>7900</v>
      </c>
      <c r="F1003" s="13" t="s">
        <v>25</v>
      </c>
    </row>
    <row r="1004" spans="1:6">
      <c r="A1004" t="s">
        <v>713</v>
      </c>
      <c r="B1004" t="s">
        <v>911</v>
      </c>
      <c r="C1004" s="2" t="s">
        <v>1701</v>
      </c>
      <c r="D1004" s="6">
        <v>45737</v>
      </c>
      <c r="E1004" s="4">
        <v>31243</v>
      </c>
      <c r="F1004" s="13" t="s">
        <v>25</v>
      </c>
    </row>
    <row r="1005" spans="1:6">
      <c r="A1005" t="s">
        <v>713</v>
      </c>
      <c r="B1005" t="s">
        <v>911</v>
      </c>
      <c r="C1005" s="2" t="s">
        <v>1702</v>
      </c>
      <c r="D1005" s="6">
        <v>45737</v>
      </c>
      <c r="E1005" s="4">
        <v>48000</v>
      </c>
      <c r="F1005" s="13" t="s">
        <v>25</v>
      </c>
    </row>
    <row r="1006" spans="1:6">
      <c r="A1006" t="s">
        <v>713</v>
      </c>
      <c r="B1006" t="s">
        <v>911</v>
      </c>
      <c r="C1006" s="2" t="s">
        <v>1703</v>
      </c>
      <c r="D1006" s="6">
        <v>45742</v>
      </c>
      <c r="E1006" s="4">
        <v>23000</v>
      </c>
      <c r="F1006" s="13" t="s">
        <v>25</v>
      </c>
    </row>
    <row r="1007" spans="1:6">
      <c r="A1007" t="s">
        <v>713</v>
      </c>
      <c r="B1007" t="s">
        <v>911</v>
      </c>
      <c r="C1007" s="2" t="s">
        <v>1704</v>
      </c>
      <c r="D1007" s="6">
        <v>45742</v>
      </c>
      <c r="E1007" s="4">
        <v>17000</v>
      </c>
      <c r="F1007" s="13" t="s">
        <v>25</v>
      </c>
    </row>
    <row r="1008" spans="1:6" hidden="1">
      <c r="A1008" t="s">
        <v>713</v>
      </c>
      <c r="B1008" t="s">
        <v>912</v>
      </c>
      <c r="C1008"/>
    </row>
    <row r="1009" spans="1:6" hidden="1">
      <c r="A1009" t="s">
        <v>713</v>
      </c>
      <c r="B1009" t="s">
        <v>913</v>
      </c>
      <c r="C1009"/>
    </row>
    <row r="1010" spans="1:6">
      <c r="A1010" t="s">
        <v>713</v>
      </c>
      <c r="B1010" t="s">
        <v>914</v>
      </c>
      <c r="C1010" s="2" t="s">
        <v>1705</v>
      </c>
      <c r="D1010" s="6">
        <v>45717</v>
      </c>
      <c r="E1010" s="4">
        <v>23863</v>
      </c>
      <c r="F1010" s="13" t="s">
        <v>25</v>
      </c>
    </row>
    <row r="1011" spans="1:6">
      <c r="A1011" t="s">
        <v>713</v>
      </c>
      <c r="B1011" t="s">
        <v>914</v>
      </c>
      <c r="C1011" s="2" t="s">
        <v>1706</v>
      </c>
      <c r="D1011" s="6">
        <v>45747</v>
      </c>
      <c r="E1011" s="4">
        <f>3584-32</f>
        <v>3552</v>
      </c>
      <c r="F1011" s="13" t="s">
        <v>25</v>
      </c>
    </row>
    <row r="1012" spans="1:6" hidden="1">
      <c r="A1012" t="s">
        <v>713</v>
      </c>
      <c r="B1012" t="s">
        <v>915</v>
      </c>
      <c r="C1012"/>
    </row>
    <row r="1013" spans="1:6" hidden="1">
      <c r="A1013" t="s">
        <v>713</v>
      </c>
      <c r="B1013" t="s">
        <v>916</v>
      </c>
      <c r="C1013"/>
    </row>
    <row r="1014" spans="1:6">
      <c r="A1014" t="s">
        <v>713</v>
      </c>
      <c r="B1014" t="s">
        <v>917</v>
      </c>
      <c r="C1014" s="2" t="s">
        <v>1707</v>
      </c>
      <c r="D1014" s="6">
        <v>45747</v>
      </c>
      <c r="E1014" s="4">
        <v>16200</v>
      </c>
      <c r="F1014" s="13" t="s">
        <v>25</v>
      </c>
    </row>
    <row r="1015" spans="1:6" hidden="1">
      <c r="A1015" t="s">
        <v>713</v>
      </c>
      <c r="B1015" t="s">
        <v>918</v>
      </c>
      <c r="C1015"/>
    </row>
    <row r="1016" spans="1:6" hidden="1">
      <c r="A1016" t="s">
        <v>713</v>
      </c>
      <c r="B1016" t="s">
        <v>919</v>
      </c>
      <c r="C1016"/>
    </row>
    <row r="1017" spans="1:6" hidden="1">
      <c r="A1017" t="s">
        <v>713</v>
      </c>
      <c r="B1017" t="s">
        <v>920</v>
      </c>
      <c r="C1017"/>
    </row>
    <row r="1018" spans="1:6">
      <c r="A1018" t="s">
        <v>713</v>
      </c>
      <c r="B1018" t="s">
        <v>921</v>
      </c>
      <c r="C1018" s="2" t="s">
        <v>1708</v>
      </c>
      <c r="D1018" s="6">
        <v>45706</v>
      </c>
      <c r="E1018" s="4">
        <v>25960</v>
      </c>
      <c r="F1018" s="13" t="s">
        <v>25</v>
      </c>
    </row>
    <row r="1019" spans="1:6">
      <c r="A1019" t="s">
        <v>713</v>
      </c>
      <c r="B1019" t="s">
        <v>922</v>
      </c>
      <c r="C1019" s="2" t="s">
        <v>1709</v>
      </c>
      <c r="D1019" s="6">
        <v>45444</v>
      </c>
      <c r="E1019" s="4">
        <f>35826.79-693.79</f>
        <v>35133</v>
      </c>
      <c r="F1019" s="13" t="s">
        <v>25</v>
      </c>
    </row>
    <row r="1020" spans="1:6">
      <c r="A1020" t="s">
        <v>713</v>
      </c>
      <c r="B1020" t="s">
        <v>922</v>
      </c>
      <c r="C1020" s="2" t="s">
        <v>1710</v>
      </c>
      <c r="D1020" s="6">
        <v>45444</v>
      </c>
      <c r="E1020" s="4">
        <v>29150</v>
      </c>
      <c r="F1020" s="13" t="s">
        <v>25</v>
      </c>
    </row>
    <row r="1021" spans="1:6">
      <c r="A1021" t="s">
        <v>713</v>
      </c>
      <c r="B1021" t="s">
        <v>922</v>
      </c>
      <c r="C1021" s="2" t="s">
        <v>1711</v>
      </c>
      <c r="D1021" s="6">
        <v>45505</v>
      </c>
      <c r="E1021" s="4">
        <v>69590</v>
      </c>
      <c r="F1021" s="13" t="s">
        <v>25</v>
      </c>
    </row>
    <row r="1022" spans="1:6">
      <c r="A1022" t="s">
        <v>713</v>
      </c>
      <c r="B1022" t="s">
        <v>922</v>
      </c>
      <c r="C1022" s="2" t="s">
        <v>1712</v>
      </c>
      <c r="D1022" s="6">
        <v>45537</v>
      </c>
      <c r="E1022" s="4">
        <v>1044</v>
      </c>
      <c r="F1022" s="13" t="s">
        <v>25</v>
      </c>
    </row>
    <row r="1023" spans="1:6">
      <c r="A1023" t="s">
        <v>713</v>
      </c>
      <c r="B1023" t="s">
        <v>922</v>
      </c>
      <c r="C1023" s="2" t="s">
        <v>1713</v>
      </c>
      <c r="D1023" s="6">
        <v>45567</v>
      </c>
      <c r="E1023" s="4">
        <v>362</v>
      </c>
      <c r="F1023" s="13" t="s">
        <v>25</v>
      </c>
    </row>
    <row r="1024" spans="1:6">
      <c r="A1024" t="s">
        <v>713</v>
      </c>
      <c r="B1024" t="s">
        <v>922</v>
      </c>
      <c r="C1024" s="2" t="s">
        <v>1714</v>
      </c>
      <c r="D1024" s="6">
        <v>45598</v>
      </c>
      <c r="E1024" s="4">
        <f>90496-767</f>
        <v>89729</v>
      </c>
      <c r="F1024" s="13" t="s">
        <v>25</v>
      </c>
    </row>
    <row r="1025" spans="1:6">
      <c r="A1025" t="s">
        <v>713</v>
      </c>
      <c r="B1025" t="s">
        <v>922</v>
      </c>
      <c r="C1025" s="2" t="s">
        <v>1715</v>
      </c>
      <c r="D1025" s="6">
        <v>45631</v>
      </c>
      <c r="E1025" s="4">
        <f>38304-325</f>
        <v>37979</v>
      </c>
      <c r="F1025" s="13" t="s">
        <v>25</v>
      </c>
    </row>
    <row r="1026" spans="1:6">
      <c r="A1026" t="s">
        <v>713</v>
      </c>
      <c r="B1026" t="s">
        <v>922</v>
      </c>
      <c r="C1026" s="2" t="s">
        <v>1716</v>
      </c>
      <c r="D1026" s="6">
        <v>45662</v>
      </c>
      <c r="E1026" s="4">
        <f>54629-463</f>
        <v>54166</v>
      </c>
      <c r="F1026" s="13" t="s">
        <v>25</v>
      </c>
    </row>
    <row r="1027" spans="1:6">
      <c r="A1027" t="s">
        <v>713</v>
      </c>
      <c r="B1027" t="s">
        <v>922</v>
      </c>
      <c r="C1027" s="2" t="s">
        <v>1717</v>
      </c>
      <c r="D1027" s="6">
        <v>45689</v>
      </c>
      <c r="E1027" s="4">
        <v>7554</v>
      </c>
      <c r="F1027" s="13" t="s">
        <v>25</v>
      </c>
    </row>
    <row r="1028" spans="1:6">
      <c r="A1028" t="s">
        <v>713</v>
      </c>
      <c r="B1028" t="s">
        <v>922</v>
      </c>
      <c r="C1028" s="6" t="s">
        <v>1718</v>
      </c>
      <c r="D1028" s="3">
        <v>45717</v>
      </c>
      <c r="E1028" s="4">
        <f>45809-388</f>
        <v>45421</v>
      </c>
      <c r="F1028" s="13" t="s">
        <v>25</v>
      </c>
    </row>
    <row r="1029" spans="1:6">
      <c r="A1029" t="s">
        <v>713</v>
      </c>
      <c r="B1029" t="s">
        <v>923</v>
      </c>
      <c r="C1029" s="2" t="s">
        <v>1719</v>
      </c>
      <c r="D1029" s="6">
        <v>42927</v>
      </c>
      <c r="E1029" s="4">
        <f>54280-17505</f>
        <v>36775</v>
      </c>
      <c r="F1029" s="13" t="s">
        <v>25</v>
      </c>
    </row>
    <row r="1030" spans="1:6">
      <c r="A1030" t="s">
        <v>713</v>
      </c>
      <c r="B1030" t="s">
        <v>923</v>
      </c>
      <c r="C1030" s="2" t="s">
        <v>1720</v>
      </c>
      <c r="D1030" s="6">
        <v>43187</v>
      </c>
      <c r="E1030" s="4">
        <v>23200</v>
      </c>
      <c r="F1030" s="13" t="s">
        <v>25</v>
      </c>
    </row>
    <row r="1031" spans="1:6">
      <c r="A1031" t="s">
        <v>713</v>
      </c>
      <c r="B1031" t="s">
        <v>923</v>
      </c>
      <c r="C1031" s="2" t="s">
        <v>1721</v>
      </c>
      <c r="D1031" s="6">
        <v>43273</v>
      </c>
      <c r="E1031" s="4">
        <f>26844.8+682.2</f>
        <v>27527</v>
      </c>
      <c r="F1031" s="13" t="s">
        <v>25</v>
      </c>
    </row>
    <row r="1032" spans="1:6">
      <c r="A1032" t="s">
        <v>713</v>
      </c>
      <c r="B1032" t="s">
        <v>923</v>
      </c>
      <c r="C1032" s="2" t="s">
        <v>1722</v>
      </c>
      <c r="D1032" s="6">
        <v>43340</v>
      </c>
      <c r="E1032" s="4">
        <v>3380</v>
      </c>
      <c r="F1032" s="13" t="s">
        <v>25</v>
      </c>
    </row>
    <row r="1033" spans="1:6">
      <c r="A1033" t="s">
        <v>713</v>
      </c>
      <c r="B1033" t="s">
        <v>923</v>
      </c>
      <c r="C1033" s="2" t="s">
        <v>1723</v>
      </c>
      <c r="D1033" s="6">
        <v>45629</v>
      </c>
      <c r="E1033" s="4">
        <f>25960-220</f>
        <v>25740</v>
      </c>
      <c r="F1033" s="13" t="s">
        <v>25</v>
      </c>
    </row>
    <row r="1034" spans="1:6">
      <c r="A1034" t="s">
        <v>713</v>
      </c>
      <c r="B1034" t="s">
        <v>923</v>
      </c>
      <c r="C1034" s="2" t="s">
        <v>1724</v>
      </c>
      <c r="D1034" s="6">
        <v>45629</v>
      </c>
      <c r="E1034" s="4">
        <f>28320-240</f>
        <v>28080</v>
      </c>
      <c r="F1034" s="13" t="s">
        <v>25</v>
      </c>
    </row>
    <row r="1035" spans="1:6">
      <c r="A1035" t="s">
        <v>713</v>
      </c>
      <c r="B1035" t="s">
        <v>924</v>
      </c>
      <c r="C1035" s="2" t="s">
        <v>1725</v>
      </c>
      <c r="D1035" s="6">
        <v>43843</v>
      </c>
      <c r="E1035" s="4">
        <v>29630</v>
      </c>
      <c r="F1035" s="13" t="s">
        <v>25</v>
      </c>
    </row>
    <row r="1036" spans="1:6">
      <c r="A1036" t="s">
        <v>713</v>
      </c>
      <c r="B1036" t="s">
        <v>924</v>
      </c>
      <c r="C1036" s="2" t="s">
        <v>1726</v>
      </c>
      <c r="D1036" s="6">
        <v>44475</v>
      </c>
      <c r="E1036" s="4">
        <v>10315</v>
      </c>
      <c r="F1036" s="13" t="s">
        <v>25</v>
      </c>
    </row>
    <row r="1037" spans="1:6">
      <c r="A1037" t="s">
        <v>713</v>
      </c>
      <c r="B1037" t="s">
        <v>924</v>
      </c>
      <c r="C1037" s="2" t="s">
        <v>1727</v>
      </c>
      <c r="D1037" s="6">
        <v>44602</v>
      </c>
      <c r="E1037" s="4">
        <v>5940</v>
      </c>
      <c r="F1037" s="13" t="s">
        <v>25</v>
      </c>
    </row>
    <row r="1038" spans="1:6">
      <c r="A1038" t="s">
        <v>713</v>
      </c>
      <c r="B1038" t="s">
        <v>924</v>
      </c>
      <c r="C1038" s="2" t="s">
        <v>1728</v>
      </c>
      <c r="D1038" s="6">
        <v>44676</v>
      </c>
      <c r="E1038" s="4">
        <v>740</v>
      </c>
      <c r="F1038" s="13" t="s">
        <v>25</v>
      </c>
    </row>
    <row r="1039" spans="1:6">
      <c r="A1039" t="s">
        <v>713</v>
      </c>
      <c r="B1039" t="s">
        <v>924</v>
      </c>
      <c r="C1039" s="2" t="s">
        <v>1729</v>
      </c>
      <c r="D1039" s="6">
        <v>45380</v>
      </c>
      <c r="E1039" s="4">
        <f>956754+13815</f>
        <v>970569</v>
      </c>
      <c r="F1039" s="13" t="s">
        <v>25</v>
      </c>
    </row>
    <row r="1040" spans="1:6" hidden="1">
      <c r="A1040" t="s">
        <v>713</v>
      </c>
      <c r="B1040" t="s">
        <v>925</v>
      </c>
      <c r="C1040"/>
    </row>
    <row r="1041" spans="1:6" hidden="1">
      <c r="A1041" t="s">
        <v>713</v>
      </c>
      <c r="B1041" t="s">
        <v>926</v>
      </c>
      <c r="C1041"/>
    </row>
    <row r="1042" spans="1:6" hidden="1">
      <c r="A1042" t="s">
        <v>713</v>
      </c>
      <c r="B1042" t="s">
        <v>927</v>
      </c>
      <c r="C1042"/>
    </row>
    <row r="1043" spans="1:6">
      <c r="A1043" t="s">
        <v>713</v>
      </c>
      <c r="B1043" t="s">
        <v>928</v>
      </c>
      <c r="C1043" s="2" t="s">
        <v>1730</v>
      </c>
      <c r="D1043" s="6">
        <v>45689</v>
      </c>
      <c r="E1043" s="4">
        <v>143046</v>
      </c>
      <c r="F1043" s="13" t="s">
        <v>25</v>
      </c>
    </row>
    <row r="1044" spans="1:6" hidden="1">
      <c r="A1044" t="s">
        <v>713</v>
      </c>
      <c r="B1044" t="s">
        <v>929</v>
      </c>
      <c r="C1044"/>
    </row>
    <row r="1045" spans="1:6">
      <c r="A1045" t="s">
        <v>713</v>
      </c>
      <c r="B1045" t="s">
        <v>930</v>
      </c>
      <c r="C1045" s="13">
        <v>20</v>
      </c>
      <c r="E1045" s="4">
        <v>2183</v>
      </c>
      <c r="F1045" t="s">
        <v>19</v>
      </c>
    </row>
    <row r="1046" spans="1:6">
      <c r="A1046" t="s">
        <v>713</v>
      </c>
      <c r="B1046" t="s">
        <v>931</v>
      </c>
      <c r="C1046" s="2" t="s">
        <v>1731</v>
      </c>
      <c r="D1046" s="6">
        <v>45635</v>
      </c>
      <c r="E1046" s="4">
        <v>118000</v>
      </c>
      <c r="F1046" s="13" t="s">
        <v>25</v>
      </c>
    </row>
    <row r="1047" spans="1:6">
      <c r="A1047" t="s">
        <v>713</v>
      </c>
      <c r="B1047" t="s">
        <v>931</v>
      </c>
      <c r="C1047" s="2" t="s">
        <v>1732</v>
      </c>
      <c r="D1047" s="6">
        <v>45643</v>
      </c>
      <c r="E1047" s="4">
        <v>73750</v>
      </c>
      <c r="F1047" s="13" t="s">
        <v>25</v>
      </c>
    </row>
    <row r="1048" spans="1:6">
      <c r="A1048" t="s">
        <v>713</v>
      </c>
      <c r="B1048" t="s">
        <v>931</v>
      </c>
      <c r="C1048" s="2" t="s">
        <v>1733</v>
      </c>
      <c r="D1048" s="6">
        <v>45656</v>
      </c>
      <c r="E1048" s="4">
        <v>44250</v>
      </c>
      <c r="F1048" s="13" t="s">
        <v>25</v>
      </c>
    </row>
    <row r="1049" spans="1:6">
      <c r="A1049" t="s">
        <v>713</v>
      </c>
      <c r="B1049" t="s">
        <v>931</v>
      </c>
      <c r="C1049" s="2" t="s">
        <v>1734</v>
      </c>
      <c r="D1049" s="6">
        <v>45685</v>
      </c>
      <c r="E1049" s="4">
        <v>139948</v>
      </c>
      <c r="F1049" s="13" t="s">
        <v>25</v>
      </c>
    </row>
    <row r="1050" spans="1:6" hidden="1">
      <c r="A1050" t="s">
        <v>713</v>
      </c>
      <c r="B1050" t="s">
        <v>932</v>
      </c>
      <c r="C1050"/>
    </row>
    <row r="1051" spans="1:6" hidden="1">
      <c r="A1051" t="s">
        <v>713</v>
      </c>
      <c r="B1051" t="s">
        <v>933</v>
      </c>
      <c r="C1051"/>
    </row>
    <row r="1052" spans="1:6" hidden="1">
      <c r="A1052" t="s">
        <v>713</v>
      </c>
      <c r="B1052" t="s">
        <v>934</v>
      </c>
      <c r="C1052"/>
    </row>
    <row r="1053" spans="1:6" hidden="1">
      <c r="A1053" t="s">
        <v>713</v>
      </c>
      <c r="B1053" t="s">
        <v>935</v>
      </c>
      <c r="C1053"/>
    </row>
    <row r="1054" spans="1:6" hidden="1">
      <c r="A1054" t="s">
        <v>713</v>
      </c>
      <c r="B1054" t="s">
        <v>936</v>
      </c>
      <c r="C1054"/>
    </row>
    <row r="1055" spans="1:6">
      <c r="A1055" t="s">
        <v>713</v>
      </c>
      <c r="B1055" t="s">
        <v>937</v>
      </c>
      <c r="C1055" s="2" t="s">
        <v>1735</v>
      </c>
      <c r="D1055" s="6">
        <v>45713</v>
      </c>
      <c r="E1055" s="4">
        <v>3068</v>
      </c>
      <c r="F1055" s="13" t="s">
        <v>25</v>
      </c>
    </row>
    <row r="1056" spans="1:6">
      <c r="A1056" t="s">
        <v>713</v>
      </c>
      <c r="B1056" t="s">
        <v>937</v>
      </c>
      <c r="C1056" s="2" t="s">
        <v>1736</v>
      </c>
      <c r="D1056" s="6">
        <v>45727</v>
      </c>
      <c r="E1056" s="4">
        <v>6885</v>
      </c>
      <c r="F1056" s="13" t="s">
        <v>25</v>
      </c>
    </row>
    <row r="1057" spans="1:6">
      <c r="A1057" t="s">
        <v>713</v>
      </c>
      <c r="B1057" t="s">
        <v>937</v>
      </c>
      <c r="C1057" s="2" t="s">
        <v>1737</v>
      </c>
      <c r="D1057" s="6">
        <v>45738</v>
      </c>
      <c r="E1057" s="4">
        <v>32609</v>
      </c>
      <c r="F1057" s="13" t="s">
        <v>25</v>
      </c>
    </row>
    <row r="1058" spans="1:6">
      <c r="A1058" t="s">
        <v>713</v>
      </c>
      <c r="B1058" t="s">
        <v>937</v>
      </c>
      <c r="C1058" s="2" t="s">
        <v>1738</v>
      </c>
      <c r="D1058" s="6">
        <v>45740</v>
      </c>
      <c r="E1058" s="4">
        <v>8732</v>
      </c>
      <c r="F1058" s="13" t="s">
        <v>25</v>
      </c>
    </row>
    <row r="1059" spans="1:6" hidden="1">
      <c r="A1059" t="s">
        <v>713</v>
      </c>
      <c r="B1059" t="s">
        <v>938</v>
      </c>
      <c r="C1059"/>
    </row>
    <row r="1060" spans="1:6" hidden="1">
      <c r="A1060" t="s">
        <v>713</v>
      </c>
      <c r="B1060" t="s">
        <v>939</v>
      </c>
      <c r="C1060"/>
    </row>
    <row r="1061" spans="1:6">
      <c r="A1061" t="s">
        <v>713</v>
      </c>
      <c r="B1061" t="s">
        <v>940</v>
      </c>
      <c r="C1061" s="2" t="s">
        <v>1739</v>
      </c>
      <c r="D1061" s="6">
        <v>44561</v>
      </c>
      <c r="E1061" s="4">
        <f>1798266-5600</f>
        <v>1792666</v>
      </c>
      <c r="F1061" s="13" t="s">
        <v>25</v>
      </c>
    </row>
    <row r="1062" spans="1:6">
      <c r="A1062" t="s">
        <v>713</v>
      </c>
      <c r="B1062" t="s">
        <v>940</v>
      </c>
      <c r="C1062" s="2" t="s">
        <v>1740</v>
      </c>
      <c r="D1062" s="6">
        <v>44624</v>
      </c>
      <c r="E1062" s="4">
        <v>40000</v>
      </c>
      <c r="F1062" s="13" t="s">
        <v>25</v>
      </c>
    </row>
    <row r="1063" spans="1:6">
      <c r="A1063" t="s">
        <v>713</v>
      </c>
      <c r="B1063" t="s">
        <v>940</v>
      </c>
      <c r="C1063" s="2" t="s">
        <v>1741</v>
      </c>
      <c r="D1063" s="6">
        <v>44651</v>
      </c>
      <c r="E1063" s="4">
        <v>5192220</v>
      </c>
      <c r="F1063" s="13" t="s">
        <v>25</v>
      </c>
    </row>
    <row r="1064" spans="1:6">
      <c r="A1064" t="s">
        <v>713</v>
      </c>
      <c r="B1064" t="s">
        <v>940</v>
      </c>
      <c r="C1064" s="2" t="s">
        <v>1742</v>
      </c>
      <c r="D1064" s="6">
        <v>44944</v>
      </c>
      <c r="E1064" s="4">
        <v>108648</v>
      </c>
      <c r="F1064" s="13" t="s">
        <v>25</v>
      </c>
    </row>
    <row r="1065" spans="1:6">
      <c r="A1065" t="s">
        <v>713</v>
      </c>
      <c r="B1065" t="s">
        <v>940</v>
      </c>
      <c r="C1065" s="2" t="s">
        <v>1743</v>
      </c>
      <c r="D1065" s="6">
        <v>45406</v>
      </c>
      <c r="E1065" s="4">
        <v>443680</v>
      </c>
      <c r="F1065" s="13" t="s">
        <v>25</v>
      </c>
    </row>
    <row r="1066" spans="1:6" hidden="1">
      <c r="A1066" t="s">
        <v>713</v>
      </c>
      <c r="B1066" t="s">
        <v>941</v>
      </c>
      <c r="C1066"/>
    </row>
    <row r="1067" spans="1:6" hidden="1">
      <c r="A1067" t="s">
        <v>713</v>
      </c>
      <c r="B1067" t="s">
        <v>942</v>
      </c>
      <c r="C1067"/>
    </row>
    <row r="1068" spans="1:6" hidden="1">
      <c r="A1068" t="s">
        <v>713</v>
      </c>
      <c r="B1068" t="s">
        <v>943</v>
      </c>
      <c r="C1068"/>
    </row>
    <row r="1069" spans="1:6" hidden="1">
      <c r="A1069" t="s">
        <v>713</v>
      </c>
      <c r="B1069" t="s">
        <v>944</v>
      </c>
      <c r="C1069"/>
    </row>
    <row r="1070" spans="1:6" hidden="1">
      <c r="A1070" t="s">
        <v>713</v>
      </c>
      <c r="B1070" t="s">
        <v>945</v>
      </c>
      <c r="C1070"/>
    </row>
    <row r="1071" spans="1:6">
      <c r="A1071" t="s">
        <v>713</v>
      </c>
      <c r="B1071" t="s">
        <v>946</v>
      </c>
      <c r="C1071" s="2" t="s">
        <v>1744</v>
      </c>
      <c r="D1071" s="6">
        <v>45621</v>
      </c>
      <c r="E1071" s="4">
        <f>77821-1319-36621</f>
        <v>39881</v>
      </c>
      <c r="F1071" s="13" t="s">
        <v>25</v>
      </c>
    </row>
    <row r="1072" spans="1:6">
      <c r="A1072" t="s">
        <v>713</v>
      </c>
      <c r="B1072" t="s">
        <v>946</v>
      </c>
      <c r="C1072" s="2" t="s">
        <v>1745</v>
      </c>
      <c r="D1072" s="6">
        <v>45621</v>
      </c>
      <c r="E1072" s="4">
        <f>48215-817</f>
        <v>47398</v>
      </c>
      <c r="F1072" s="13" t="s">
        <v>25</v>
      </c>
    </row>
    <row r="1073" spans="1:10">
      <c r="A1073" t="s">
        <v>713</v>
      </c>
      <c r="B1073" t="s">
        <v>947</v>
      </c>
      <c r="C1073" s="2" t="s">
        <v>1746</v>
      </c>
      <c r="D1073" s="6">
        <v>45694</v>
      </c>
      <c r="E1073" s="4">
        <f>3311-39</f>
        <v>3272</v>
      </c>
      <c r="F1073" s="13" t="s">
        <v>25</v>
      </c>
    </row>
    <row r="1074" spans="1:10">
      <c r="A1074" t="s">
        <v>713</v>
      </c>
      <c r="B1074" t="s">
        <v>947</v>
      </c>
      <c r="C1074" s="2" t="s">
        <v>1747</v>
      </c>
      <c r="D1074" s="6">
        <v>45729</v>
      </c>
      <c r="E1074" s="4">
        <v>7807</v>
      </c>
      <c r="F1074" s="13" t="s">
        <v>25</v>
      </c>
    </row>
    <row r="1075" spans="1:10" hidden="1">
      <c r="A1075" t="s">
        <v>713</v>
      </c>
      <c r="B1075" t="s">
        <v>948</v>
      </c>
      <c r="C1075"/>
    </row>
    <row r="1076" spans="1:10">
      <c r="A1076" t="s">
        <v>713</v>
      </c>
      <c r="B1076" t="s">
        <v>949</v>
      </c>
      <c r="C1076" s="2" t="s">
        <v>1748</v>
      </c>
      <c r="D1076" s="6">
        <v>45702</v>
      </c>
      <c r="E1076" s="4">
        <v>4956</v>
      </c>
      <c r="F1076" s="13" t="s">
        <v>25</v>
      </c>
    </row>
    <row r="1077" spans="1:10">
      <c r="A1077" t="s">
        <v>713</v>
      </c>
      <c r="B1077" t="s">
        <v>949</v>
      </c>
      <c r="C1077" s="2" t="s">
        <v>1749</v>
      </c>
      <c r="D1077" s="6">
        <v>45715</v>
      </c>
      <c r="E1077" s="4">
        <v>14868</v>
      </c>
      <c r="F1077" s="13" t="s">
        <v>25</v>
      </c>
    </row>
    <row r="1078" spans="1:10" hidden="1">
      <c r="A1078" t="s">
        <v>713</v>
      </c>
      <c r="B1078" t="s">
        <v>950</v>
      </c>
      <c r="C1078"/>
    </row>
    <row r="1079" spans="1:10" hidden="1">
      <c r="A1079" t="s">
        <v>713</v>
      </c>
      <c r="B1079" t="s">
        <v>951</v>
      </c>
      <c r="C1079"/>
    </row>
    <row r="1082" spans="1:10">
      <c r="J1082" s="4"/>
    </row>
    <row r="1084" spans="1:10">
      <c r="H1084" s="4"/>
    </row>
  </sheetData>
  <autoFilter ref="A1:F1079" xr:uid="{00000000-0009-0000-0000-000001000000}">
    <filterColumn colId="2">
      <filters>
        <filter val="008"/>
        <filter val="02"/>
        <filter val="1"/>
        <filter val="10"/>
        <filter val="107"/>
        <filter val="11"/>
        <filter val="114"/>
        <filter val="12"/>
        <filter val="13"/>
        <filter val="14"/>
        <filter val="149"/>
        <filter val="1496"/>
        <filter val="15"/>
        <filter val="150"/>
        <filter val="151"/>
        <filter val="1588"/>
        <filter val="1589"/>
        <filter val="1590"/>
        <filter val="1591"/>
        <filter val="16"/>
        <filter val="1627"/>
        <filter val="1628"/>
        <filter val="1629"/>
        <filter val="1630"/>
        <filter val="1631"/>
        <filter val="1632"/>
        <filter val="1633"/>
        <filter val="1634"/>
        <filter val="1635"/>
        <filter val="1636"/>
        <filter val="17"/>
        <filter val="1738"/>
        <filter val="18"/>
        <filter val="187"/>
        <filter val="19"/>
        <filter val="199"/>
        <filter val="2"/>
        <filter val="20"/>
        <filter val="2024-2025/4600"/>
        <filter val="2024-2025/5041"/>
        <filter val="2024-25/1771"/>
        <filter val="2024-25/2545"/>
        <filter val="213"/>
        <filter val="215"/>
        <filter val="222"/>
        <filter val="225323044"/>
        <filter val="225435293"/>
        <filter val="23-24/SS016"/>
        <filter val="235"/>
        <filter val="239"/>
        <filter val="24000721"/>
        <filter val="24001019"/>
        <filter val="24-25/1087"/>
        <filter val="246"/>
        <filter val="2530"/>
        <filter val="2632"/>
        <filter val="296"/>
        <filter val="3"/>
        <filter val="3035"/>
        <filter val="32"/>
        <filter val="3233"/>
        <filter val="332433413"/>
        <filter val="4"/>
        <filter val="4323"/>
        <filter val="4324"/>
        <filter val="4402"/>
        <filter val="4403"/>
        <filter val="4505"/>
        <filter val="48"/>
        <filter val="49"/>
        <filter val="5"/>
        <filter val="505"/>
        <filter val="5210076061"/>
        <filter val="536"/>
        <filter val="56/2023-24"/>
        <filter val="6"/>
        <filter val="7"/>
        <filter val="738"/>
        <filter val="8"/>
        <filter val="83"/>
        <filter val="85"/>
        <filter val="89"/>
        <filter val="897"/>
        <filter val="9"/>
        <filter val="91"/>
        <filter val="95"/>
        <filter val="A22/2425/5227"/>
        <filter val="A22/2425/7777"/>
        <filter val="ABS/24-25/124"/>
        <filter val="ABS/24-25/130"/>
        <filter val="ABS/24-25/159"/>
        <filter val="ABS/24-25/160"/>
        <filter val="ABS/24-25/193"/>
        <filter val="ABS/24-25/197"/>
        <filter val="ABS/24-25/198"/>
        <filter val="ABS/24-25/201"/>
        <filter val="ABS/24-25/204"/>
        <filter val="ABS/24-25/205"/>
        <filter val="ABS/24-25/209"/>
        <filter val="ABS/24-25/230"/>
        <filter val="ABS/24-25/231"/>
        <filter val="ABS/24-25/249"/>
        <filter val="ABS/24-25/250"/>
        <filter val="ABS/24-25/257"/>
        <filter val="ABS/24-25/267"/>
        <filter val="ABS/24-25/274"/>
        <filter val="ABS/24-25/288"/>
        <filter val="ABS/24-25/292"/>
        <filter val="ABS/24-25/293"/>
        <filter val="ABS/24-25/300"/>
        <filter val="ABS/24-25/309"/>
        <filter val="BID0021"/>
        <filter val="CAM/PSL/01"/>
        <filter val="CCPL/0516/2425"/>
        <filter val="CCPL/0653/2425"/>
        <filter val="CCPL/0736/2425"/>
        <filter val="CCPL/0766/2425"/>
        <filter val="CCPL/0894/2425"/>
        <filter val="CCPL/0896/2425"/>
        <filter val="CCPL/0897/2425"/>
        <filter val="CCPL/1001/2425"/>
        <filter val="CCPL/1009/2425"/>
        <filter val="CCPL/1038/2425"/>
        <filter val="CCPL/1039/2425"/>
        <filter val="DEB-1166/24"/>
        <filter val="DEB-1302/24"/>
        <filter val="DEB-1485/24"/>
        <filter val="DEB-1592/24"/>
        <filter val="DEB-1713/24"/>
        <filter val="DEL2019200000101"/>
        <filter val="DEL20212220000087"/>
        <filter val="DEL20212220000153"/>
        <filter val="DEL2022230000010"/>
        <filter val="DEL2023240000234"/>
        <filter val="DL/2024-25/0979"/>
        <filter val="DL/2024-25/0994"/>
        <filter val="DL/2024-25/1112"/>
        <filter val="DL/2024-25/1125"/>
        <filter val="DL/2024-25/1178"/>
        <filter val="DL/2024-25/1207"/>
        <filter val="DL/2024-25/1225"/>
        <filter val="DL/ICPL/2425/069"/>
        <filter val="DLTI-24-25-04947"/>
        <filter val="DLTI-24-25-04955"/>
        <filter val="DLTI-24-25-04958"/>
        <filter val="DLTI-24-25-04960"/>
        <filter val="DLTI-24-25-04961"/>
        <filter val="DLTI-24-25-04963"/>
        <filter val="DLTI-24-25-04965"/>
        <filter val="DLTI-24-25-04968"/>
        <filter val="DLTI-24-25-05947"/>
        <filter val="DTPL/2015-16/05"/>
        <filter val="DTPL/2016-2017/PO/233"/>
        <filter val="DTPL/2018-2019/GPO/264"/>
        <filter val="DTPL/2018-2019/GPO/316"/>
        <filter val="DTPL/GSI/1718/56"/>
        <filter val="DTPL/SER/2016-17/149"/>
        <filter val="DTPL/SI/2014-15/131"/>
        <filter val="DTPL/SI/2015-16/232"/>
        <filter val="DTPL/SI/2015-16/241"/>
        <filter val="DTPL/SI/2016-17/013"/>
        <filter val="DTPL/SI/2016-17/232"/>
        <filter val="DTPL/SI/2017-18/037"/>
        <filter val="DTPL/TAX/2012-13/164"/>
        <filter val="DTPL2122-02"/>
        <filter val="DTPL2122-187"/>
        <filter val="DTPL2223-394"/>
        <filter val="DTPL2324-231"/>
        <filter val="DTPL2324-234"/>
        <filter val="DTPL2324-268"/>
        <filter val="DTPL2324-272"/>
        <filter val="DTPL2324-296"/>
        <filter val="DTPL2324-301"/>
        <filter val="DTPL2324-319"/>
        <filter val="DTPL2324-324"/>
        <filter val="DTPL2425-039"/>
        <filter val="DTPL2425-041"/>
        <filter val="DTPL2425-128"/>
        <filter val="DTPL2425-134"/>
        <filter val="DTPL2425-139"/>
        <filter val="DTPLDN2425-006"/>
        <filter val="DTPLGSI/1819/171"/>
        <filter val="DTPLGSI/1819/190"/>
        <filter val="DTPLSER/1819/053"/>
        <filter val="DTPLSER/1819/258"/>
        <filter val="DTPLSER/1920/033"/>
        <filter val="DTPLSER/1920/062"/>
        <filter val="DTPLSER/1920/099"/>
        <filter val="DTPLSER/1920/215"/>
        <filter val="DTPLSER/1920/241"/>
        <filter val="DTPLSER/1920/242"/>
        <filter val="DTPLSER2021177"/>
        <filter val="DTPLTAX/1920/207"/>
        <filter val="DTPLTAX/1920/208"/>
        <filter val="DTPLTAX/1920/62C"/>
        <filter val="DTPLTAX202111"/>
        <filter val="DTPLTAX202113"/>
        <filter val="DTPLTAX202115"/>
        <filter val="DTPLTAX2021152"/>
        <filter val="DTPLTAX2021155"/>
        <filter val="DTPLTAX2021172"/>
        <filter val="DTPLTAX2021178"/>
        <filter val="DTPLTAX2021179"/>
        <filter val="DTPLTAX2021180"/>
        <filter val="DTPLTAX2021181"/>
        <filter val="DTPLTAX2021204"/>
        <filter val="DTPLTAX202136"/>
        <filter val="DTPLTAX202162"/>
        <filter val="DTPLTAX202163"/>
        <filter val="DTPLTAX202167"/>
        <filter val="DTPLTAX202168"/>
        <filter val="DTPLTAX202169"/>
        <filter val="DTPLTAX202171"/>
        <filter val="DTPLTAX202177"/>
        <filter val="DTPLTAX202178"/>
        <filter val="DTPLTAX202179"/>
        <filter val="DTPLTAX202180"/>
        <filter val="DTPLTAX202181"/>
        <filter val="DTPLTAX202188"/>
        <filter val="DTPLTAX202192"/>
        <filter val="DTPLTAX202193"/>
        <filter val="DTPLTI/2223-296"/>
        <filter val="DTPLTI/2223-298"/>
        <filter val="DTPLTI2122-03"/>
        <filter val="DTPLTI2122-04"/>
        <filter val="DTPLTI2122-07"/>
        <filter val="DTPLTI2122-10"/>
        <filter val="DTPLTI2122-103"/>
        <filter val="DTPLTI2122-104"/>
        <filter val="DTPLTI2122-105"/>
        <filter val="DTPLTI2122-106"/>
        <filter val="DTPLTI2122-11"/>
        <filter val="DTPLTI2122-12"/>
        <filter val="DTPLTI2122-121"/>
        <filter val="DTPLTI2122-122"/>
        <filter val="DTPLTI2122-126"/>
        <filter val="DTPLTI2122-134"/>
        <filter val="DTPLTI2122-146"/>
        <filter val="DTPLTI2122-147"/>
        <filter val="DTPLTI2122-163"/>
        <filter val="DTPLTI2122-186"/>
        <filter val="DTPLTI2122-230"/>
        <filter val="DTPLTI2122-237"/>
        <filter val="DTPLTI2122-269"/>
        <filter val="DTPLTI2122-270"/>
        <filter val="DTPLTI2122-284"/>
        <filter val="DTPLTI2122-305"/>
        <filter val="DTPLTI2122-320"/>
        <filter val="DTPLTI2122-321"/>
        <filter val="DTPLTI2122-322"/>
        <filter val="DTPLTI2122-323"/>
        <filter val="DTPLTI2122-324"/>
        <filter val="DTPLTI2122-325"/>
        <filter val="DTPLTI2122-327"/>
        <filter val="DTPLTI2122-346"/>
        <filter val="DTPLTI2122-347"/>
        <filter val="DTPLTI2122-348"/>
        <filter val="DTPLTI2122-349"/>
        <filter val="DTPLTI2122-350"/>
        <filter val="DTPLTI2122-351"/>
        <filter val="DTPLTI2122-355"/>
        <filter val="DTPLTI2122-356"/>
        <filter val="DTPLTI2122-357"/>
        <filter val="DTPLTI2122-358"/>
        <filter val="DTPLTI2122-359"/>
        <filter val="DTPLTI2122-360"/>
        <filter val="DTPLTI2122-361"/>
        <filter val="DTPLTI2122-362"/>
        <filter val="DTPLTI2122-363"/>
        <filter val="DTPLTI2122-364"/>
        <filter val="DTPLTI2122-389"/>
        <filter val="DTPLTI2122-390"/>
        <filter val="DTPLTI2122-396"/>
        <filter val="DTPLTI2122-397"/>
        <filter val="DTPLTI2122-398"/>
        <filter val="DTPLTI2122-399"/>
        <filter val="DTPLTI2122-400"/>
        <filter val="DTPLTI2122-401"/>
        <filter val="DTPLTI2122-402"/>
        <filter val="DTPLTI2122-403"/>
        <filter val="DTPLTI2122-404"/>
        <filter val="DTPLTI2122-406"/>
        <filter val="DTPLTI2122-407"/>
        <filter val="DTPLTI2122-408"/>
        <filter val="DTPLTI2122-409"/>
        <filter val="DTPLTI2122-41"/>
        <filter val="DTPLTI2122-410"/>
        <filter val="DTPLTI2122-411"/>
        <filter val="DTPLTI2122-412"/>
        <filter val="DTPLTI2122-413"/>
        <filter val="DTPLTI2122-72"/>
        <filter val="DTPLTI2122-78"/>
        <filter val="DTPLTI2122-79"/>
        <filter val="DTPLTI2122-85"/>
        <filter val="DTPLTI2122-90"/>
        <filter val="DTPLTI22-23-0044"/>
        <filter val="DTPLTI2223-010"/>
        <filter val="DTPLTI2223-034"/>
        <filter val="DTPLTI2223-046"/>
        <filter val="DTPLTI2223-078"/>
        <filter val="DTPLTI2223-079"/>
        <filter val="DTPLTI2223-081"/>
        <filter val="DTPLTI2223-082"/>
        <filter val="DTPLTI2223-083"/>
        <filter val="DTPLTI2223-084"/>
        <filter val="DTPLTI2223-085"/>
        <filter val="DTPLTI2223-086"/>
        <filter val="DTPLTI2223-087"/>
        <filter val="DTPLTI2223-088"/>
        <filter val="DTPLTI2223-089"/>
        <filter val="DTPLTI2223-090"/>
        <filter val="DTPLTI2223-091"/>
        <filter val="DTPLTI2223-092"/>
        <filter val="DTPLTI2223-093"/>
        <filter val="DTPLTI2223-094"/>
        <filter val="DTPLTI2223-101"/>
        <filter val="DTPLTI2223-102"/>
        <filter val="DTPLTI2223-116"/>
        <filter val="DTPLTI2223-118"/>
        <filter val="DTPLTI2223-120"/>
        <filter val="DTPLTI2223-121"/>
        <filter val="DTPLTI2223-122"/>
        <filter val="DTPLTI2223-123"/>
        <filter val="DTPLTI2223-124"/>
        <filter val="DTPLTI2223-125"/>
        <filter val="DTPLTI2223-126"/>
        <filter val="DTPLTI2223-127"/>
        <filter val="DTPLTI2223-128"/>
        <filter val="DTPLTI2223-129"/>
        <filter val="DTPLTI2223-130"/>
        <filter val="DTPLTI2223-131"/>
        <filter val="DTPLTI2223-132"/>
        <filter val="DTPLTI2223-133"/>
        <filter val="DTPLTI2223-134"/>
        <filter val="DTPLTI2223-136"/>
        <filter val="DTPLTI2223-142"/>
        <filter val="DTPLTI2223-143"/>
        <filter val="DTPLTI2223-147"/>
        <filter val="DTPLTI2223-149"/>
        <filter val="DTPLTI2223-150"/>
        <filter val="DTPLTI2223-151"/>
        <filter val="DTPLTI2223-164"/>
        <filter val="DTPLTI2223-165"/>
        <filter val="DTPLTI2223-166"/>
        <filter val="DTPLTI2223-167"/>
        <filter val="DTPLTI2223-168"/>
        <filter val="DTPLTI2223-169"/>
        <filter val="DTPLTI2223-170"/>
        <filter val="DTPLTI2223-171"/>
        <filter val="DTPLTI2223-172"/>
        <filter val="DTPLTI2223-173"/>
        <filter val="DTPLTI2223-174"/>
        <filter val="DTPLTI2223-175"/>
        <filter val="DTPLTI2223-176"/>
        <filter val="DTPLTI2223-177"/>
        <filter val="DTPLTI2223-178"/>
        <filter val="DTPLTI2223-179"/>
        <filter val="DTPLTI2223-187"/>
        <filter val="DTPLTI2223-188"/>
        <filter val="DTPLTI2223-189"/>
        <filter val="DTPLTI2223-190"/>
        <filter val="DTPLTI2223-191"/>
        <filter val="DTPLTI2223-192"/>
        <filter val="DTPLTI2223-193"/>
        <filter val="DTPLTI2223-194"/>
        <filter val="DTPLTI2223-195"/>
        <filter val="DTPLTI2223-196"/>
        <filter val="DTPLTI2223-197"/>
        <filter val="DTPLTI2223-198"/>
        <filter val="DTPLTI2223-199"/>
        <filter val="DTPLTI2223-200"/>
        <filter val="DTPLTI2223-201"/>
        <filter val="DTPLTI2223-202"/>
        <filter val="DTPLTI2223-203"/>
        <filter val="DTPLTI2223-204"/>
        <filter val="DTPLTI2223-214"/>
        <filter val="DTPLTI2223-215"/>
        <filter val="DTPLTI2223-237"/>
        <filter val="DTPLTI2223-239"/>
        <filter val="DTPLTI2223-240"/>
        <filter val="DTPLTI2223-253"/>
        <filter val="DTPLTI2223-254"/>
        <filter val="DTPLTI2223-255"/>
        <filter val="DTPLTI2223-256"/>
        <filter val="DTPLTI2223-257"/>
        <filter val="DTPLTI2223-258"/>
        <filter val="DTPLTI2223-259"/>
        <filter val="DTPLTI2223-260"/>
        <filter val="DTPLTI2223-261"/>
        <filter val="DTPLTI2223-262"/>
        <filter val="DTPLTI2223-263"/>
        <filter val="DTPLTI2223-264"/>
        <filter val="DTPLTI2223-265"/>
        <filter val="DTPLTI2223-266"/>
        <filter val="DTPLTI2223-267"/>
        <filter val="DTPLTI2223-268"/>
        <filter val="DTPLTI2223-269"/>
        <filter val="DTPLTI2223-270"/>
        <filter val="DTPLTI2223-271"/>
        <filter val="DTPLTI2223-272"/>
        <filter val="DTPLTI2223-273"/>
        <filter val="DTPLTI2223-274"/>
        <filter val="DTPLTI2223-275"/>
        <filter val="DTPLTI2223-294"/>
        <filter val="DTPLTI2223-295"/>
        <filter val="DTPLTI2223-297"/>
        <filter val="DTPLTI2223-299"/>
        <filter val="DTPLTI2223-300"/>
        <filter val="DTPLTI2223-301"/>
        <filter val="DTPLTI2223-302"/>
        <filter val="DTPLTI2223-304"/>
        <filter val="DTPLTI2223-305"/>
        <filter val="DTPLTI2223-306"/>
        <filter val="DTPLTI2223-307"/>
        <filter val="DTPLTI2223-308"/>
        <filter val="DTPLTI2223-309"/>
        <filter val="DTPLTI2223-311"/>
        <filter val="DTPLTI2223-314"/>
        <filter val="DTPLTI2223-316"/>
        <filter val="DTPLTI2223-333"/>
        <filter val="DTPLTI2223-334"/>
        <filter val="DTPLTI2223-335"/>
        <filter val="DTPLTI2223-336"/>
        <filter val="DTPLTI2223-338"/>
        <filter val="DTPLTI2223-339"/>
        <filter val="DTPLTI2223-340"/>
        <filter val="DTPLTI2223-341"/>
        <filter val="DTPLTI2223-342"/>
        <filter val="DTPLTI2223-343"/>
        <filter val="DTPLTI2223-350"/>
        <filter val="DTPLTI2223-354"/>
        <filter val="DTPLTI2223-355"/>
        <filter val="DTPLTI2223-356"/>
        <filter val="DTPLTI2223-357"/>
        <filter val="DTPLTI2223-358"/>
        <filter val="DTPLTI2223-359"/>
        <filter val="DTPLTI2223-361"/>
        <filter val="DTPLTI2223-382"/>
        <filter val="DTPLTI2223-388"/>
        <filter val="DTPLTI2223-393"/>
        <filter val="DTPLTI2223-395"/>
        <filter val="DTPLTI2223-396"/>
        <filter val="DTPLTI2223-397"/>
        <filter val="DTPLTI2223-398"/>
        <filter val="DTPLTI2223-399"/>
        <filter val="DTPLTI2223-400"/>
        <filter val="DTPLTI2223-401"/>
        <filter val="DTPLTI2223-402"/>
        <filter val="DTPLTI2223-403"/>
        <filter val="DTPLTI2223-404"/>
        <filter val="DTPLTI2223-405"/>
        <filter val="DTPLTI2223-406"/>
        <filter val="DTPLTI2223-407"/>
        <filter val="DTPLTI2223-408"/>
        <filter val="DTPLTI2223-409"/>
        <filter val="DTPLTI2223-410"/>
        <filter val="DTPLTI2223-413"/>
        <filter val="DTPLTI2223-415"/>
        <filter val="DTPLTI2223-420"/>
        <filter val="DTPLTI2223-426"/>
        <filter val="DTPLTI2223-439"/>
        <filter val="DTPLTI2223-445"/>
        <filter val="DTPLTI2223-449"/>
        <filter val="DTPLTI2223-453"/>
        <filter val="DTPLTI2223-467"/>
        <filter val="DTPLTI2223-468"/>
        <filter val="DTPLTI2223-475"/>
        <filter val="DTPLTI2223-476"/>
        <filter val="DTPLTI2223-483"/>
        <filter val="DTPLTI2324-025"/>
        <filter val="DTPLTI2324-028"/>
        <filter val="DTPLTI2324-036"/>
        <filter val="DTPLTI2324-039"/>
        <filter val="DTPLTI23-24-046"/>
        <filter val="DTPLTI2324-077"/>
        <filter val="DTPLTI2324-086"/>
        <filter val="DTPLTI2324-087"/>
        <filter val="DTPLTI2324-088"/>
        <filter val="DTPLTI2324-103"/>
        <filter val="DTPLTI2324-104"/>
        <filter val="DTPLTI2324-105"/>
        <filter val="DTPLTI2324-107"/>
        <filter val="DTPLTI2324-112"/>
        <filter val="DTPLTI2324-115"/>
        <filter val="DTPLTI2324-116"/>
        <filter val="DTPLTI2324-125"/>
        <filter val="DTPLTI2324-141"/>
        <filter val="DTPLTI2324-149"/>
        <filter val="DTPLTI2324-154"/>
        <filter val="DTPLTI2324-167"/>
        <filter val="DTPLTI2324-168"/>
        <filter val="DTPLTI2324-169"/>
        <filter val="DTPLTI2324-177"/>
        <filter val="DTPLTI2324-178"/>
        <filter val="DTPLTI2324-179"/>
        <filter val="DTPLTI2324-205"/>
        <filter val="DTPLTI2324-206"/>
        <filter val="DTPLTI2324-208"/>
        <filter val="DTPLTI2324-210"/>
        <filter val="DTPLTI2324-215"/>
        <filter val="DTPLTI2324-216"/>
        <filter val="DTPLTI2324-217"/>
        <filter val="DTPLTI2324-218"/>
        <filter val="DTPLTI2324-219"/>
        <filter val="DTPLTI2324-223"/>
        <filter val="DTPLTI2324-224"/>
        <filter val="DTPLTI2324-225"/>
        <filter val="DTPLTI2324-227"/>
        <filter val="DTPLTI2324-228"/>
        <filter val="DTPLTI2324-229"/>
        <filter val="DTPLTI2324-230"/>
        <filter val="DTPLTI2324-232"/>
        <filter val="DTPLTI2324-233"/>
        <filter val="DTPLTI2324-235"/>
        <filter val="DTPLTI2324-239"/>
        <filter val="DTPLTI2324-251"/>
        <filter val="DTPLTI2324-252"/>
        <filter val="DTPLTI2324-257"/>
        <filter val="DTPLTI2324-258"/>
        <filter val="DTPLTI2324-259"/>
        <filter val="DTPLTI2324-260"/>
        <filter val="DTPLTI2324-262"/>
        <filter val="DTPLTI2324-265"/>
        <filter val="DTPLTI2324-266"/>
        <filter val="DTPLTI2324-267"/>
        <filter val="DTPLTI2324-269"/>
        <filter val="DTPLTI2324-270"/>
        <filter val="DTPLTI2324-271"/>
        <filter val="DTPLTI2324-273"/>
        <filter val="DTPLTI2324-274"/>
        <filter val="DTPLTI2324-288"/>
        <filter val="DTPLTI2324-297"/>
        <filter val="DTPLTI2324-298"/>
        <filter val="DTPLTI2324-299"/>
        <filter val="DTPLTI2324-300"/>
        <filter val="DTPLTI2324-302"/>
        <filter val="DTPLTI2324-306"/>
        <filter val="DTPLTI2324-308"/>
        <filter val="DTPLTI2324-312"/>
        <filter val="DTPLTI2324-313"/>
        <filter val="DTPLTI2324-314"/>
        <filter val="DTPLTI2324-315"/>
        <filter val="DTPLTI2324-316"/>
        <filter val="DTPLTI2324-317"/>
        <filter val="DTPLTI2324-320"/>
        <filter val="DTPLTI2324-321"/>
        <filter val="DTPLTI2324-322"/>
        <filter val="DTPLTI2324-323"/>
        <filter val="DTPLTI2324-325"/>
        <filter val="DTPLTI2324-326"/>
        <filter val="DTPLTI2324-327"/>
        <filter val="DTPLTI2324-328"/>
        <filter val="DTPLTI2324-330"/>
        <filter val="DTPLTI2324-331"/>
        <filter val="DTPLTI2324-332"/>
        <filter val="DTPLTI2324-339"/>
        <filter val="DTPLTI2324-346"/>
        <filter val="DTPLTI2324-347"/>
        <filter val="DTPLTI2324-350"/>
        <filter val="DTPLTI2324-351"/>
        <filter val="DTPLTI2324-353"/>
        <filter val="DTPLTI2324-358"/>
        <filter val="DTPLTI2324-362"/>
        <filter val="DTPLTI2324-363"/>
        <filter val="DTPLTI2324-364"/>
        <filter val="DTPLTI2324-365"/>
        <filter val="DTPLTI2425-028"/>
        <filter val="DTPLTI2425-032"/>
        <filter val="DTPLTI2425-033"/>
        <filter val="DTPLTI2425-034"/>
        <filter val="DTPLTI2425-038"/>
        <filter val="DTPLTI2425-040"/>
        <filter val="DTPLTI2425-042"/>
        <filter val="DTPLTI2425-043"/>
        <filter val="DTPLTI2425-044"/>
        <filter val="DTPLTI2425-045"/>
        <filter val="DTPLTI2425-061"/>
        <filter val="DTPLTI2425-068"/>
        <filter val="DTPLTI2425-075"/>
        <filter val="DTPLTI2425-076"/>
        <filter val="DTPLTI2425-087"/>
        <filter val="DTPLTI2425-088"/>
        <filter val="DTPLTI2425-089"/>
        <filter val="DTPLTI2425-090"/>
        <filter val="DTPLTI2425-110"/>
        <filter val="DTPLTI2425-114"/>
        <filter val="DTPLTI2425-115"/>
        <filter val="DTPLTI2425-116"/>
        <filter val="DTPLTI2425-124"/>
        <filter val="DTPLTI2425-131"/>
        <filter val="DTPLTI2425-132"/>
        <filter val="DTPLTI2425-133"/>
        <filter val="DTPLTI2425-136"/>
        <filter val="DTPLTI2425-137"/>
        <filter val="DTPLTI2425-138"/>
        <filter val="DTPLTI2425-140"/>
        <filter val="DTPLTI2425-141"/>
        <filter val="DTPLTI2425-142"/>
        <filter val="DTPLTI2425-144"/>
        <filter val="DTPLTI2425-149"/>
        <filter val="DTPLTI2425-151"/>
        <filter val="DTPLTI2425-170"/>
        <filter val="DTPLTI2425-171"/>
        <filter val="DTPLTI2425-172"/>
        <filter val="DTPLTI2425-178"/>
        <filter val="DTPLTI2425-179"/>
        <filter val="DTPLTI2425-201"/>
        <filter val="DTPLTI2425-202"/>
        <filter val="DTPLTI2425-210"/>
        <filter val="DTPLTI2425-211"/>
        <filter val="DTPLTI2425-212"/>
        <filter val="DTPLTI2425-219"/>
        <filter val="DTPLTI2425-221"/>
        <filter val="DTPLTI2425-223"/>
        <filter val="DTPLTI2425-226"/>
        <filter val="DTPLTI2425-227"/>
        <filter val="DTPLTI2425-247"/>
        <filter val="DTPLTI2425-256"/>
        <filter val="DTPLTI2425-260"/>
        <filter val="DTPLTI2425-262"/>
        <filter val="DTPLTI2425-263"/>
        <filter val="DTPLTI2425-268"/>
        <filter val="DTPLTI2425-269"/>
        <filter val="DTPLTI2425-270"/>
        <filter val="DTPLTI2425-271"/>
        <filter val="DTPLTI2425-272"/>
        <filter val="DTPLTI2425-273"/>
        <filter val="DTPLTI2425-277"/>
        <filter val="DTPLTI2425-278"/>
        <filter val="DTPLTI2425-279"/>
        <filter val="DTPLTI2425-280"/>
        <filter val="DTPLTI2425-281"/>
        <filter val="DTPLTI2425-296"/>
        <filter val="DTPLTI2425-300"/>
        <filter val="DTPLTI2425-301"/>
        <filter val="DTPLTI2425-302"/>
        <filter val="DTPLTI2425-304"/>
        <filter val="DTPLTI2425-305"/>
        <filter val="DTPLTI2425-306"/>
        <filter val="DTPLTI2425-307"/>
        <filter val="DTPLTI2425-308"/>
        <filter val="DTPLTI2425-313"/>
        <filter val="DTPLTI2425-314"/>
        <filter val="DTPLTI2425-315"/>
        <filter val="DTPLTI2425-316"/>
        <filter val="DTPLTI2425-317"/>
        <filter val="DTPLTI2425-318"/>
        <filter val="DTPLTI2425-319"/>
        <filter val="DTPLTI2425-320"/>
        <filter val="DTPLTI2425-321"/>
        <filter val="DTPLTI2425-323"/>
        <filter val="DTPLTI2425-324"/>
        <filter val="DTPLTI2425-325"/>
        <filter val="EBS/24-25/009"/>
        <filter val="EBS/24-25/013"/>
        <filter val="FR/1142"/>
        <filter val="Freight Charges"/>
        <filter val="GST/3318/24-25"/>
        <filter val="GST-TI-270/22-23"/>
        <filter val="GST-TI-284/24-25"/>
        <filter val="GST-TI-447/21-22"/>
        <filter val="GST-TI-53/22-23"/>
        <filter val="HR/ICPL/2425/023"/>
        <filter val="HTS/24-25/739"/>
        <filter val="INV-1201"/>
        <filter val="ITIBAG0124117980"/>
        <filter val="ITIBAG0124118480"/>
        <filter val="ITIBAG0124125011"/>
        <filter val="ITIBAG0124127831"/>
        <filter val="JP/SR-N-24-25/035"/>
        <filter val="MGE/24-25/2045"/>
        <filter val="N101-30-2407-491"/>
        <filter val="N101-30-2503-305"/>
        <filter val="N101-30-2503-681"/>
        <filter val="OCSPL2425G03156"/>
        <filter val="OCSPL2425G03157"/>
        <filter val="OCSPL2425G03483"/>
        <filter val="OCSPL2425G03484"/>
        <filter val="OCSPL2425G03707"/>
        <filter val="OCSPL2425G03708"/>
        <filter val="OMCL2425-001"/>
        <filter val="PC/24-25/2964"/>
        <filter val="PC/24-25/3081"/>
        <filter val="PC/24-25/3304"/>
        <filter val="PC/24-25/3387"/>
        <filter val="PC/24-25/3408"/>
        <filter val="PC/24-25/3409"/>
        <filter val="PC/24-25/3543"/>
        <filter val="PC/24-25/3584"/>
        <filter val="PC/24-25/3610"/>
        <filter val="PC/24-25/3621"/>
        <filter val="QLO/2425/5722"/>
        <filter val="RECS/24-25/550"/>
        <filter val="RNT/00104/24-25"/>
        <filter val="RNT/00201/22-23"/>
        <filter val="RNT/0062/23-24"/>
        <filter val="RNT/0069/24-25"/>
        <filter val="RP00055FEB25I"/>
        <filter val="RPIT/2024-25/498"/>
        <filter val="RPIT/2024-25/530"/>
        <filter val="RPIT/2024-25/580"/>
        <filter val="RPIT/2024-25/610"/>
        <filter val="SBE/G/24-25/241"/>
        <filter val="SGS/24-25/0968"/>
        <filter val="SGS/24-25/1044"/>
        <filter val="SI/24-25/00288"/>
        <filter val="SI/24-25/00292"/>
        <filter val="SI/24-25/00303"/>
        <filter val="SI/24-25/00304"/>
        <filter val="SI/24-25/00305"/>
        <filter val="SI/24-25/00331"/>
        <filter val="SI/24-25/00332"/>
        <filter val="SI/24-25/00335"/>
        <filter val="SI/24-25/00338"/>
        <filter val="SI/24-25/00339"/>
        <filter val="SI/24-25/00340"/>
        <filter val="SI/24-25/00355"/>
        <filter val="SLRSI3275748"/>
        <filter val="SLT/21-22/2"/>
        <filter val="SLT/22-23/4"/>
        <filter val="SLT/24-25/76"/>
        <filter val="SME2425025"/>
        <filter val="SME2425029"/>
        <filter val="SME2425030"/>
        <filter val="SPS/2024-25/104"/>
        <filter val="SPS/2024-25/94"/>
        <filter val="SPS/2024-25/96"/>
        <filter val="SVIC/24-25/387"/>
        <filter val="SVIC/24-25/403"/>
        <filter val="SVIC/24-25/408"/>
        <filter val="SVIC/24-25/409"/>
        <filter val="SVIC/24-25/431"/>
        <filter val="SVIC/24-25/438"/>
        <filter val="TCDELINV17180103"/>
        <filter val="TCDELINV20181930"/>
        <filter val="TCDELINV20242565"/>
        <filter val="TCDELINV20242567"/>
        <filter val="TEJ/DEL/0091"/>
        <filter val="TEJ/DEL/0102"/>
        <filter val="TEJ/DEL/0109"/>
        <filter val="TEJ/DEL/0124"/>
        <filter val="TEJ/DEL/0139"/>
        <filter val="TEJ/DEL/0149"/>
        <filter val="TEJ/DEL/0165"/>
        <filter val="TEJ/DEL/0174"/>
        <filter val="TEJ/DEL/0185"/>
        <filter val="TEJ/DEL/0200"/>
        <filter val="TI/24-25/83218"/>
        <filter val="TI/24-25/83219"/>
        <filter val="TI/STS/24-25/2698"/>
        <filter val="TI/STS/24-25/2755"/>
        <filter val="TSIDEL/1467/2425"/>
        <filter val="TTPL/GST/23-24/16"/>
        <filter val="UNI/10067/24-25"/>
        <filter val="UNI/10519/24-25"/>
        <filter val="UNI/11623/24-25"/>
        <filter val="UNI/9732/24-25"/>
        <filter val="VAV/2024-25/1252"/>
        <filter val="VAV/2024-25/1291"/>
        <filter val="VAV/2024-25/1330"/>
        <filter val="VAV/2024-25/1340"/>
        <filter val="VD0924101688"/>
        <filter val="VD0924101689"/>
        <filter val="VTPL/TI/2122/065"/>
        <filter val="VTPL/TI/2122/074"/>
        <filter val="VTPL/TI/2122/095"/>
        <filter val="VTPL/TI/2223/069"/>
        <filter val="VTPL/TI/2425/007"/>
        <filter val="VTR/2024/725"/>
        <filter val="VTR/2024/726"/>
        <filter val="WGS/24-25/0456"/>
        <filter val="WGS/24-25/0531"/>
        <filter val="YCP/24-25/1102"/>
        <filter val="YCP/24-25/1213"/>
        <filter val="ZKR-1808"/>
        <filter val="ZKR-1838"/>
        <filter val="ZKR1879"/>
      </filters>
    </filterColumn>
  </autoFilter>
  <dataValidations count="1">
    <dataValidation type="list" showErrorMessage="1" errorTitle="Invalid Selection" error="Please select a valid value from the list." sqref="F2:F1048576" xr:uid="{00000000-0002-0000-0100-000000000000}">
      <formula1>"Debit,Credit"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Karunesh</dc:creator>
  <cp:keywords/>
  <dc:description/>
  <cp:lastModifiedBy>Guest User</cp:lastModifiedBy>
  <cp:revision/>
  <dcterms:created xsi:type="dcterms:W3CDTF">2025-09-30T10:12:51Z</dcterms:created>
  <dcterms:modified xsi:type="dcterms:W3CDTF">2025-12-02T05:06:52Z</dcterms:modified>
  <cp:category/>
  <cp:contentStatus/>
</cp:coreProperties>
</file>